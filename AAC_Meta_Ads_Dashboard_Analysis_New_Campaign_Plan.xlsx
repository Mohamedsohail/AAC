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Analysis" sheetId="1" state="visible" r:id="rId3"/>
    <sheet name="Immediate Actions" sheetId="2" state="visible" r:id="rId4"/>
    <sheet name="New Campaign Plan" sheetId="3" state="visible" r:id="rId5"/>
    <sheet name="Optimization Calend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<sst xmlns="http://schemas.openxmlformats.org/spreadsheetml/2006/main" count="373" uniqueCount="270">
  <si>
    <t xml:space="preserve">AAC REAL ESTATE - META ADS PERFORMANCE DASHBOARD</t>
  </si>
  <si>
    <t xml:space="preserve">Last 7 Days Analysis | March 19-26, 2026 | Prepared by Performance Marketing Specialist</t>
  </si>
  <si>
    <t xml:space="preserve">ACCOUNT OVERVIEW - AAC (ID: 1429904167583115)</t>
  </si>
  <si>
    <t xml:space="preserve">Metric</t>
  </si>
  <si>
    <t xml:space="preserve">Campaign 12 (LG - 9 Mar 2025)</t>
  </si>
  <si>
    <t xml:space="preserve">Andromeda (13 Mar 2026)</t>
  </si>
  <si>
    <t xml:space="preserve">TOTAL</t>
  </si>
  <si>
    <t xml:space="preserve">Benchmark</t>
  </si>
  <si>
    <t xml:space="preserve">Status</t>
  </si>
  <si>
    <t xml:space="preserve">Action Required</t>
  </si>
  <si>
    <t xml:space="preserve">Total Spend (INR)</t>
  </si>
  <si>
    <t xml:space="preserve">25000-35000/wk</t>
  </si>
  <si>
    <t xml:space="preserve">OK</t>
  </si>
  <si>
    <t xml:space="preserve">Budget allocation is fine</t>
  </si>
  <si>
    <t xml:space="preserve">Impressions</t>
  </si>
  <si>
    <t xml:space="preserve">200K+</t>
  </si>
  <si>
    <t xml:space="preserve">LOW</t>
  </si>
  <si>
    <t xml:space="preserve">Need more reach - expand audiences</t>
  </si>
  <si>
    <t xml:space="preserve">Reach</t>
  </si>
  <si>
    <t xml:space="preserve">80K+</t>
  </si>
  <si>
    <t xml:space="preserve">Broaden targeting radius</t>
  </si>
  <si>
    <t xml:space="preserve">Clicks</t>
  </si>
  <si>
    <t xml:space="preserve">1500+</t>
  </si>
  <si>
    <t xml:space="preserve">Test new creatives for higher engagement</t>
  </si>
  <si>
    <t xml:space="preserve">CTR (%)</t>
  </si>
  <si>
    <t xml:space="preserve">&gt;1.5%</t>
  </si>
  <si>
    <t xml:space="preserve">CRITICAL</t>
  </si>
  <si>
    <t xml:space="preserve">CTR below 1% = weak creatives/targeting</t>
  </si>
  <si>
    <t xml:space="preserve">CPC (INR)</t>
  </si>
  <si>
    <t xml:space="preserve">&lt;20</t>
  </si>
  <si>
    <t xml:space="preserve">HIGH</t>
  </si>
  <si>
    <t xml:space="preserve">CPC too high - optimize bidding strategy</t>
  </si>
  <si>
    <t xml:space="preserve">Total Leads</t>
  </si>
  <si>
    <t xml:space="preserve">50+</t>
  </si>
  <si>
    <t xml:space="preserve">Only 36 leads in 7 days - URGENT optimization</t>
  </si>
  <si>
    <t xml:space="preserve">CPL (INR)</t>
  </si>
  <si>
    <t xml:space="preserve">&lt;500</t>
  </si>
  <si>
    <t xml:space="preserve">CPL 985 INR vs 500 target - 2x overspend</t>
  </si>
  <si>
    <t xml:space="preserve">Frequency</t>
  </si>
  <si>
    <t xml:space="preserve">&lt;2.5</t>
  </si>
  <si>
    <t xml:space="preserve">Frequency is acceptable</t>
  </si>
  <si>
    <t xml:space="preserve">AD-LEVEL PERFORMANCE BREAKDOWN</t>
  </si>
  <si>
    <t xml:space="preserve">Campaign</t>
  </si>
  <si>
    <t xml:space="preserve">Adset</t>
  </si>
  <si>
    <t xml:space="preserve">Ad Name</t>
  </si>
  <si>
    <t xml:space="preserve">Spend (INR)</t>
  </si>
  <si>
    <t xml:space="preserve">CTR %</t>
  </si>
  <si>
    <t xml:space="preserve">Leads</t>
  </si>
  <si>
    <t xml:space="preserve">Campaign 12</t>
  </si>
  <si>
    <t xml:space="preserve">Sriperumbudur</t>
  </si>
  <si>
    <t xml:space="preserve">Zenwee Sitevisit</t>
  </si>
  <si>
    <t xml:space="preserve">Zenwee Kanchipuram</t>
  </si>
  <si>
    <t xml:space="preserve">IT Professionals</t>
  </si>
  <si>
    <t xml:space="preserve">Kanchipuram</t>
  </si>
  <si>
    <t xml:space="preserve">Anna Nagar/Nungambakkam</t>
  </si>
  <si>
    <t xml:space="preserve">Maha Periyvar</t>
  </si>
  <si>
    <t xml:space="preserve">Ad 3 - Maha Periyavar</t>
  </si>
  <si>
    <t xml:space="preserve">Ad 4 - Voice Over</t>
  </si>
  <si>
    <t xml:space="preserve">Creatives 1</t>
  </si>
  <si>
    <t xml:space="preserve">Creatives 1 Copy</t>
  </si>
  <si>
    <t xml:space="preserve">Andromeda</t>
  </si>
  <si>
    <t xml:space="preserve">Chennai</t>
  </si>
  <si>
    <t xml:space="preserve">Nagarin Idhayam</t>
  </si>
  <si>
    <t xml:space="preserve">Zenwee AAC Video 1</t>
  </si>
  <si>
    <t xml:space="preserve">Zenwee MPN Video 2</t>
  </si>
  <si>
    <t xml:space="preserve">Zenwee MPN Video 1</t>
  </si>
  <si>
    <t xml:space="preserve">MPN Creatives</t>
  </si>
  <si>
    <t xml:space="preserve">Radhika Creatives</t>
  </si>
  <si>
    <t xml:space="preserve">Missed Meenambakkam</t>
  </si>
  <si>
    <t xml:space="preserve">Zenwee AAC Video 2</t>
  </si>
  <si>
    <t xml:space="preserve">KEY INSIGHTS &amp; PERFORMANCE ALERTS</t>
  </si>
  <si>
    <t xml:space="preserve">1. CRITICAL: Overall CPL is 985 INR — nearly 2x the 500 INR target. Immediate action needed.</t>
  </si>
  <si>
    <t xml:space="preserve">2. TOP PERFORMER: "Nagarin Idhayam" creative in Andromeda campaign delivers CPL 412 INR — SCALE THIS.</t>
  </si>
  <si>
    <t xml:space="preserve">3. TOP PERFORMER: "Zenwee MPN Video 1" delivers 9 leads at CPL 470 INR — INCREASE BUDGET.</t>
  </si>
  <si>
    <t xml:space="preserve">4. TOP PERFORMER: "Anna Nagar Creatives 1 Copy" delivers 3 leads at CPL 499 INR — KEEP RUNNING.</t>
  </si>
  <si>
    <t xml:space="preserve">5. WORST: "Maha Periyavar Ad 3" spent 1,635 INR with ZERO leads — PAUSE IMMEDIATELY.</t>
  </si>
  <si>
    <t xml:space="preserve">6. WORST: "IT Professionals - Zenwee Sitevisit" spent 1,642 INR with ZERO leads — PAUSE.</t>
  </si>
  <si>
    <t xml:space="preserve">7. WORST: Campaign 12 overall CPL is 1,728 INR — needs complete restructure or pause.</t>
  </si>
  <si>
    <t xml:space="preserve">8. Andromeda campaign (CPL 610 INR) outperforms Campaign 12 (CPL 1,728 INR) by 65%.</t>
  </si>
  <si>
    <t xml:space="preserve">9. Video creatives (MPN Video 1, Voice Over) consistently outperform static image ads.</t>
  </si>
  <si>
    <t xml:space="preserve">10. CTR across both campaigns is below 1% avg — creative fatigue is setting in.</t>
  </si>
  <si>
    <t xml:space="preserve">AAC - IMMEDIATE ACTION PLAN (Next 48 Hours)</t>
  </si>
  <si>
    <t xml:space="preserve">STEP 1: PAUSE THESE ADS IMMEDIATELY (Stop Bleeding Budget)</t>
  </si>
  <si>
    <t xml:space="preserve">CPL</t>
  </si>
  <si>
    <t xml:space="preserve">Reason</t>
  </si>
  <si>
    <t xml:space="preserve">Zero leads, high spend</t>
  </si>
  <si>
    <t xml:space="preserve">Zero clicks, zero leads</t>
  </si>
  <si>
    <t xml:space="preserve">Zero leads despite 23 clicks</t>
  </si>
  <si>
    <t xml:space="preserve">Zero leads</t>
  </si>
  <si>
    <t xml:space="preserve">STEP 2: SCALE THESE ADS (Increase Budget by 20-30%)</t>
  </si>
  <si>
    <t xml:space="preserve">Action</t>
  </si>
  <si>
    <t xml:space="preserve">Increase budget 30% - best CPL</t>
  </si>
  <si>
    <t xml:space="preserve">Increase budget 20% - top lead volume</t>
  </si>
  <si>
    <t xml:space="preserve">Anna Nagar</t>
  </si>
  <si>
    <t xml:space="preserve">Increase budget 20% - near target CPL</t>
  </si>
  <si>
    <t xml:space="preserve">Increase budget 25% - strong CPL</t>
  </si>
  <si>
    <t xml:space="preserve">STEP 3: OPTIMIZE THESE ADS (Test New Creatives/Copy)</t>
  </si>
  <si>
    <t xml:space="preserve">Test new angles - CPL above target</t>
  </si>
  <si>
    <t xml:space="preserve">CPL 3x target - test new creative</t>
  </si>
  <si>
    <t xml:space="preserve">CPL 3x target - revise targeting</t>
  </si>
  <si>
    <t xml:space="preserve">Test new lead form or landing page</t>
  </si>
  <si>
    <t xml:space="preserve">AAC REAL ESTATE - NEW META ADS CAMPAIGN BLUEPRINT</t>
  </si>
  <si>
    <t xml:space="preserve">Lead Generation Campaign | Target CPL: Under 350 INR | Chennai &amp; Surrounding Areas</t>
  </si>
  <si>
    <t xml:space="preserve">CAMPAIGN STRUCTURE</t>
  </si>
  <si>
    <t xml:space="preserve">Element</t>
  </si>
  <si>
    <t xml:space="preserve">Setting</t>
  </si>
  <si>
    <t xml:space="preserve">Campaign Name</t>
  </si>
  <si>
    <t xml:space="preserve">AAC - Lead Gen - Advantage+ - March 2026</t>
  </si>
  <si>
    <t xml:space="preserve">Fresh campaign avoids learning phase issues from old campaigns</t>
  </si>
  <si>
    <t xml:space="preserve">Objective</t>
  </si>
  <si>
    <t xml:space="preserve">Leads (Instant Forms + WhatsApp)</t>
  </si>
  <si>
    <t xml:space="preserve">Direct lead capture without landing page friction</t>
  </si>
  <si>
    <t xml:space="preserve">Campaign Budget</t>
  </si>
  <si>
    <t xml:space="preserve">Advantage Campaign Budget (CBO) - INR 5,000/day</t>
  </si>
  <si>
    <t xml:space="preserve">Let Meta optimize spend across best-performing adsets</t>
  </si>
  <si>
    <t xml:space="preserve">Bid Strategy</t>
  </si>
  <si>
    <t xml:space="preserve">Cost Cap at INR 400/lead</t>
  </si>
  <si>
    <t xml:space="preserve">Controls CPL while allowing Meta to optimize delivery</t>
  </si>
  <si>
    <t xml:space="preserve">Attribution Window</t>
  </si>
  <si>
    <t xml:space="preserve">7-day click, 1-day view</t>
  </si>
  <si>
    <t xml:space="preserve">Standard for lead gen - captures most conversion paths</t>
  </si>
  <si>
    <t xml:space="preserve">Placements</t>
  </si>
  <si>
    <t xml:space="preserve">Advantage+ Placements (all)</t>
  </si>
  <si>
    <t xml:space="preserve">Let Meta find cheapest leads across FB, IG, Audience Network</t>
  </si>
  <si>
    <t xml:space="preserve">Scheduling</t>
  </si>
  <si>
    <t xml:space="preserve">Run all day (optimize after 5-7 days of data)</t>
  </si>
  <si>
    <t xml:space="preserve">Collect data first, then daypart based on lead quality</t>
  </si>
  <si>
    <t xml:space="preserve">ADSET STRUCTURE (4 Adsets)</t>
  </si>
  <si>
    <t xml:space="preserve">Adset Name</t>
  </si>
  <si>
    <t xml:space="preserve">Targeting</t>
  </si>
  <si>
    <t xml:space="preserve">Age Range</t>
  </si>
  <si>
    <t xml:space="preserve">Audience Size</t>
  </si>
  <si>
    <t xml:space="preserve">Budget Share</t>
  </si>
  <si>
    <t xml:space="preserve">Special Notes</t>
  </si>
  <si>
    <t xml:space="preserve">Adset 1: Chennai Metro - Broad</t>
  </si>
  <si>
    <t xml:space="preserve">Location: Chennai + 25km radius
Interests: Real Estate, Property Investment, Home Loans, NRI Investment</t>
  </si>
  <si>
    <t xml:space="preserve">28-55</t>
  </si>
  <si>
    <t xml:space="preserve">2M-5M</t>
  </si>
  <si>
    <t xml:space="preserve">30%</t>
  </si>
  <si>
    <t xml:space="preserve">Broadest targeting - let Meta optimize</t>
  </si>
  <si>
    <t xml:space="preserve">Adset 2: Kanchipuram/Sriperumbudur</t>
  </si>
  <si>
    <t xml:space="preserve">Location: Kanchipuram + 15km, Sriperumbudur + 15km
Interests: Land for Sale, Plots, Villa Projects</t>
  </si>
  <si>
    <t xml:space="preserve">25-50</t>
  </si>
  <si>
    <t xml:space="preserve">500K-1.5M</t>
  </si>
  <si>
    <t xml:space="preserve">25%</t>
  </si>
  <si>
    <t xml:space="preserve">Your current best-performing geo area</t>
  </si>
  <si>
    <t xml:space="preserve">Adset 3: High-Income Professionals</t>
  </si>
  <si>
    <t xml:space="preserve">Location: Anna Nagar, T Nagar, Adyar, OMR
Behaviors: Business Travelers, Small Business Owners
Income: Top 25%</t>
  </si>
  <si>
    <t xml:space="preserve">30-55</t>
  </si>
  <si>
    <t xml:space="preserve">300K-800K</t>
  </si>
  <si>
    <t xml:space="preserve">Premium audience for higher ticket properties</t>
  </si>
  <si>
    <t xml:space="preserve">Adset 4: Lookalike Audience</t>
  </si>
  <si>
    <t xml:space="preserve">Source: 1% Lookalike of existing leads/customers
Location: Tamil Nadu</t>
  </si>
  <si>
    <t xml:space="preserve">25-55</t>
  </si>
  <si>
    <t xml:space="preserve">1M-3M</t>
  </si>
  <si>
    <t xml:space="preserve">20%</t>
  </si>
  <si>
    <t xml:space="preserve">Create from your best past leads - highest intent</t>
  </si>
  <si>
    <t xml:space="preserve">AD CREATIVE STRATEGY (5 Ads Per Adset)</t>
  </si>
  <si>
    <t xml:space="preserve">Ad #</t>
  </si>
  <si>
    <t xml:space="preserve">Format</t>
  </si>
  <si>
    <t xml:space="preserve">Hook / Headline</t>
  </si>
  <si>
    <t xml:space="preserve">Body Copy Angle</t>
  </si>
  <si>
    <t xml:space="preserve">CTA</t>
  </si>
  <si>
    <t xml:space="preserve">Why This Works</t>
  </si>
  <si>
    <t xml:space="preserve">Ad 1: Video Walkthrough</t>
  </si>
  <si>
    <t xml:space="preserve">Video (30-60 sec)</t>
  </si>
  <si>
    <t xml:space="preserve">Dream Home Near Chennai Starting at ₹XX Lakhs</t>
  </si>
  <si>
    <t xml:space="preserve">Virtual tour of the property with voiceover highlighting location, amenities, and price</t>
  </si>
  <si>
    <t xml:space="preserve">Get Price Details</t>
  </si>
  <si>
    <t xml:space="preserve">Video ads outperform static by 40% in your account (MPN Video 1 = best performer)</t>
  </si>
  <si>
    <t xml:space="preserve">Ad 2: Testimonial Video</t>
  </si>
  <si>
    <t xml:space="preserve">Video (15-30 sec)</t>
  </si>
  <si>
    <t xml:space="preserve">Why 200+ Families Chose AAC Homes</t>
  </si>
  <si>
    <t xml:space="preserve">Real customer testimonial or actor-based testimonial about buying experience</t>
  </si>
  <si>
    <t xml:space="preserve">Book Site Visit</t>
  </si>
  <si>
    <t xml:space="preserve">Social proof drives trust - especially for high-ticket real estate</t>
  </si>
  <si>
    <t xml:space="preserve">Ad 3: Carousel - Price Plans</t>
  </si>
  <si>
    <t xml:space="preserve">Carousel (4-5 slides)</t>
  </si>
  <si>
    <t xml:space="preserve">₹XX Lakhs | 2BHK/3BHK/Plot | Easy EMI Available</t>
  </si>
  <si>
    <t xml:space="preserve">Each slide = different property type with price, size, and EMI calculation</t>
  </si>
  <si>
    <t xml:space="preserve">View All Plans</t>
  </si>
  <si>
    <t xml:space="preserve">Price transparency in ads reduces unqualified leads and improves CPL</t>
  </si>
  <si>
    <t xml:space="preserve">Ad 4: Static - Offer/Urgency</t>
  </si>
  <si>
    <t xml:space="preserve">Single Image</t>
  </si>
  <si>
    <t xml:space="preserve">Limited Period: Free Registration + Vastu-Compliant Plots</t>
  </si>
  <si>
    <t xml:space="preserve">Scarcity-driven offer with clear value proposition and deadline</t>
  </si>
  <si>
    <t xml:space="preserve">Claim Offer Now</t>
  </si>
  <si>
    <t xml:space="preserve">Urgency + offer creates immediate action - ideal for weekends</t>
  </si>
  <si>
    <t xml:space="preserve">Ad 5: Reels/Story - Location</t>
  </si>
  <si>
    <t xml:space="preserve">Vertical Video (15 sec)</t>
  </si>
  <si>
    <t xml:space="preserve">Just 20 Min from Chennai Airport ✈️</t>
  </si>
  <si>
    <t xml:space="preserve">Quick drone shot of location + proximity to key landmarks (IT parks, schools, hospitals)</t>
  </si>
  <si>
    <t xml:space="preserve">Get Directions</t>
  </si>
  <si>
    <t xml:space="preserve">Location USP is #1 decision factor in Chennai real estate market</t>
  </si>
  <si>
    <t xml:space="preserve">INSTANT LEAD FORM STRUCTURE</t>
  </si>
  <si>
    <t xml:space="preserve">Form Type</t>
  </si>
  <si>
    <t xml:space="preserve">More Volume (not Higher Intent)</t>
  </si>
  <si>
    <t xml:space="preserve">Maximizes lead volume at lowest CPL first; filter quality later</t>
  </si>
  <si>
    <t xml:space="preserve">Intro Section</t>
  </si>
  <si>
    <t xml:space="preserve">Image of property + "Get Exclusive Pricing for AAC Homes"</t>
  </si>
  <si>
    <t xml:space="preserve">Clear value exchange = higher completion rate</t>
  </si>
  <si>
    <t xml:space="preserve">Question 1</t>
  </si>
  <si>
    <t xml:space="preserve">Full Name (prefilled)</t>
  </si>
  <si>
    <t xml:space="preserve">Reduces friction</t>
  </si>
  <si>
    <t xml:space="preserve">Question 2</t>
  </si>
  <si>
    <t xml:space="preserve">Phone Number (prefilled)</t>
  </si>
  <si>
    <t xml:space="preserve">Primary follow-up channel in India</t>
  </si>
  <si>
    <t xml:space="preserve">Question 3</t>
  </si>
  <si>
    <t xml:space="preserve">Which property interests you? (Multiple choice)</t>
  </si>
  <si>
    <t xml:space="preserve">Segments leads for sales team</t>
  </si>
  <si>
    <t xml:space="preserve">Question 4</t>
  </si>
  <si>
    <t xml:space="preserve">Budget Range (Multiple choice: Under 30L / 30-50L / 50-80L / 80L+)</t>
  </si>
  <si>
    <t xml:space="preserve">Qualifies leads by budget</t>
  </si>
  <si>
    <t xml:space="preserve">Question 5</t>
  </si>
  <si>
    <t xml:space="preserve">When do you plan to buy? (Dropdown: Immediately / 1-3 months / 3-6 months / Just exploring)</t>
  </si>
  <si>
    <t xml:space="preserve">Identifies hot vs warm leads</t>
  </si>
  <si>
    <t xml:space="preserve">Thank You Screen</t>
  </si>
  <si>
    <t xml:space="preserve">"Our team will call you within 30 minutes!" + Site visit booking link</t>
  </si>
  <si>
    <t xml:space="preserve">Sets expectation and offers next step</t>
  </si>
  <si>
    <t xml:space="preserve">Privacy Policy</t>
  </si>
  <si>
    <t xml:space="preserve">Link to AAC privacy policy page</t>
  </si>
  <si>
    <t xml:space="preserve">Required by Meta for lead forms</t>
  </si>
  <si>
    <t xml:space="preserve">BUDGET &amp; LEAD PROJECTION (30 Days)</t>
  </si>
  <si>
    <t xml:space="preserve">Scenario</t>
  </si>
  <si>
    <t xml:space="preserve">Daily Budget (INR)</t>
  </si>
  <si>
    <t xml:space="preserve">Monthly Spend (INR)</t>
  </si>
  <si>
    <t xml:space="preserve">Target CPL (INR)</t>
  </si>
  <si>
    <t xml:space="preserve">Expected Leads</t>
  </si>
  <si>
    <t xml:space="preserve">Expected Site Visits (15%)</t>
  </si>
  <si>
    <t xml:space="preserve">Expected Closings (3%)</t>
  </si>
  <si>
    <t xml:space="preserve">Conservative</t>
  </si>
  <si>
    <t xml:space="preserve">Recommended</t>
  </si>
  <si>
    <t xml:space="preserve">Aggressive</t>
  </si>
  <si>
    <t xml:space="preserve">AAC - 4-WEEK OPTIMIZATION CALENDAR</t>
  </si>
  <si>
    <t xml:space="preserve">WEEK 1: LAUNCH &amp; DATA COLLECTION (Days 1-7)</t>
  </si>
  <si>
    <t xml:space="preserve">Day 1-2</t>
  </si>
  <si>
    <t xml:space="preserve">Launch all 4 adsets with 5 ads each. Set CBO at INR 5,000/day. DO NOT touch anything.</t>
  </si>
  <si>
    <t xml:space="preserve">Day 3</t>
  </si>
  <si>
    <t xml:space="preserve">Check delivery: ensure all adsets are spending. If any adset has 0 spend, check targeting overlap.</t>
  </si>
  <si>
    <t xml:space="preserve">Day 5</t>
  </si>
  <si>
    <t xml:space="preserve">First performance check: Note CTR, CPC, CPL for each ad. Do NOT pause anything yet.</t>
  </si>
  <si>
    <t xml:space="preserve">Day 7</t>
  </si>
  <si>
    <t xml:space="preserve">End of Week 1 review: Identify top 2 and bottom 2 ads per adset by CPL.</t>
  </si>
  <si>
    <t xml:space="preserve">WEEK 2: FIRST OPTIMIZATION (Days 8-14)</t>
  </si>
  <si>
    <t xml:space="preserve">Day 8</t>
  </si>
  <si>
    <t xml:space="preserve">Pause all ads with CPL &gt; 2x target (800+ INR) and zero-lead ads with 1000+ INR spend.</t>
  </si>
  <si>
    <t xml:space="preserve">Day 9</t>
  </si>
  <si>
    <t xml:space="preserve">Increase budget on top performers by 20%. Create 2 new ad variations inspired by winners.</t>
  </si>
  <si>
    <t xml:space="preserve">Day 10</t>
  </si>
  <si>
    <t xml:space="preserve">Review lead quality with sales team. Are leads answering calls? Which adset has best quality?</t>
  </si>
  <si>
    <t xml:space="preserve">Day 14</t>
  </si>
  <si>
    <t xml:space="preserve">Week 2 review: Compare CPL trend. Should be declining. If not, review targeting.</t>
  </si>
  <si>
    <t xml:space="preserve">WEEK 3: SCALE WINNERS (Days 15-21)</t>
  </si>
  <si>
    <t xml:space="preserve">Day 15</t>
  </si>
  <si>
    <t xml:space="preserve">Duplicate top-performing adset with 20% higher budget. Test new audience expansion.</t>
  </si>
  <si>
    <t xml:space="preserve">Day 16</t>
  </si>
  <si>
    <t xml:space="preserve">Launch retargeting campaign: Target website visitors + video viewers + form openers.</t>
  </si>
  <si>
    <t xml:space="preserve">Day 18</t>
  </si>
  <si>
    <t xml:space="preserve">A/B test lead form: "More Volume" vs "Higher Intent" form to compare lead quality vs quantity.</t>
  </si>
  <si>
    <t xml:space="preserve">Day 21</t>
  </si>
  <si>
    <t xml:space="preserve">Week 3 review: CPL should be at or below target. If above, consider restructuring audiences.</t>
  </si>
  <si>
    <t xml:space="preserve">WEEK 4: REFINE &amp; AUTOMATE (Days 22-30)</t>
  </si>
  <si>
    <t xml:space="preserve">Day 22</t>
  </si>
  <si>
    <t xml:space="preserve">Set up automated rules: Pause ads with CPL &gt; 600 INR after 1,500 INR spend.</t>
  </si>
  <si>
    <t xml:space="preserve">Day 24</t>
  </si>
  <si>
    <t xml:space="preserve">Create Lookalike audience from Week 1-3 converted leads. Launch as new adset.</t>
  </si>
  <si>
    <t xml:space="preserve">Day 26</t>
  </si>
  <si>
    <t xml:space="preserve">Final creative refresh: Launch 3 new ads based on top-performing angles from past 3 weeks.</t>
  </si>
  <si>
    <t xml:space="preserve">Day 30</t>
  </si>
  <si>
    <t xml:space="preserve">Month-end review: Full performance report. Plan next month budget based on CPL &amp; lead quality.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</si>
</sst>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0066CC"/>
      </patternFill>
    </fill>
    <fill>
      <patternFill patternType="solid">
        <fgColor rgb="FFD4EDDA"/>
        <bgColor rgb="FFCCFFFF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FFF3CD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008080"/>
      </patternFill>
    </fill>
    <fill>
      <patternFill patternType="solid">
        <fgColor rgb="FFF39C12"/>
        <bgColor rgb="FFFF8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39C12"/>
      <rgbColor rgb="FFFF8C00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5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20730.77</v>
      </c>
      <c r="C6" s="6" t="n">
        <v>14650.72</v>
      </c>
      <c r="D6" s="7" t="n">
        <f aca="false">B6+C6</f>
        <v>35381.49</v>
      </c>
      <c r="E6" s="7" t="s">
        <v>11</v>
      </c>
      <c r="F6" s="8" t="s">
        <v>12</v>
      </c>
      <c r="G6" s="7" t="s">
        <v>13</v>
      </c>
    </row>
    <row r="7" customFormat="false" ht="15" hidden="false" customHeight="false" outlineLevel="0" collapsed="false">
      <c r="A7" s="5" t="s">
        <v>14</v>
      </c>
      <c r="B7" s="9" t="n">
        <v>132506</v>
      </c>
      <c r="C7" s="9" t="n">
        <v>62134</v>
      </c>
      <c r="D7" s="7" t="n">
        <f aca="false">B7+C7</f>
        <v>194640</v>
      </c>
      <c r="E7" s="7" t="s">
        <v>15</v>
      </c>
      <c r="F7" s="10" t="s">
        <v>16</v>
      </c>
      <c r="G7" s="7" t="s">
        <v>17</v>
      </c>
    </row>
    <row r="8" customFormat="false" ht="15" hidden="false" customHeight="false" outlineLevel="0" collapsed="false">
      <c r="A8" s="5" t="s">
        <v>18</v>
      </c>
      <c r="B8" s="9" t="n">
        <v>65102</v>
      </c>
      <c r="C8" s="9" t="n">
        <v>35875</v>
      </c>
      <c r="D8" s="7" t="n">
        <f aca="false">B8+C8</f>
        <v>100977</v>
      </c>
      <c r="E8" s="7" t="s">
        <v>19</v>
      </c>
      <c r="F8" s="10" t="s">
        <v>16</v>
      </c>
      <c r="G8" s="7" t="s">
        <v>20</v>
      </c>
    </row>
    <row r="9" customFormat="false" ht="15" hidden="false" customHeight="false" outlineLevel="0" collapsed="false">
      <c r="A9" s="5" t="s">
        <v>21</v>
      </c>
      <c r="B9" s="9" t="n">
        <v>960</v>
      </c>
      <c r="C9" s="9" t="n">
        <v>561</v>
      </c>
      <c r="D9" s="7" t="n">
        <f aca="false">B9+C9</f>
        <v>1521</v>
      </c>
      <c r="E9" s="7" t="s">
        <v>22</v>
      </c>
      <c r="F9" s="11" t="s">
        <v>16</v>
      </c>
      <c r="G9" s="7" t="s">
        <v>23</v>
      </c>
    </row>
    <row r="10" customFormat="false" ht="15" hidden="false" customHeight="false" outlineLevel="0" collapsed="false">
      <c r="A10" s="5" t="s">
        <v>24</v>
      </c>
      <c r="B10" s="12" t="n">
        <v>0.72</v>
      </c>
      <c r="C10" s="12" t="n">
        <v>0.9</v>
      </c>
      <c r="D10" s="7" t="n">
        <f aca="false">(B9+C9)/(B7+C7)*100</f>
        <v>0.781442663378545</v>
      </c>
      <c r="E10" s="7" t="s">
        <v>25</v>
      </c>
      <c r="F10" s="11" t="s">
        <v>26</v>
      </c>
      <c r="G10" s="7" t="s">
        <v>27</v>
      </c>
    </row>
    <row r="11" customFormat="false" ht="15" hidden="false" customHeight="false" outlineLevel="0" collapsed="false">
      <c r="A11" s="5" t="s">
        <v>28</v>
      </c>
      <c r="B11" s="6" t="n">
        <v>21.59</v>
      </c>
      <c r="C11" s="6" t="n">
        <v>26.12</v>
      </c>
      <c r="D11" s="7" t="n">
        <f aca="false">(B6+C6)/(B9+C9)</f>
        <v>23.2619921104536</v>
      </c>
      <c r="E11" s="7" t="s">
        <v>29</v>
      </c>
      <c r="F11" s="11" t="s">
        <v>30</v>
      </c>
      <c r="G11" s="7" t="s">
        <v>31</v>
      </c>
    </row>
    <row r="12" customFormat="false" ht="15" hidden="false" customHeight="false" outlineLevel="0" collapsed="false">
      <c r="A12" s="5" t="s">
        <v>32</v>
      </c>
      <c r="B12" s="9" t="n">
        <v>12</v>
      </c>
      <c r="C12" s="9" t="n">
        <v>24</v>
      </c>
      <c r="D12" s="7" t="n">
        <f aca="false">B12+C12</f>
        <v>36</v>
      </c>
      <c r="E12" s="7" t="s">
        <v>33</v>
      </c>
      <c r="F12" s="11" t="s">
        <v>26</v>
      </c>
      <c r="G12" s="7" t="s">
        <v>34</v>
      </c>
    </row>
    <row r="13" customFormat="false" ht="15" hidden="false" customHeight="false" outlineLevel="0" collapsed="false">
      <c r="A13" s="5" t="s">
        <v>35</v>
      </c>
      <c r="B13" s="6" t="n">
        <v>1727.56</v>
      </c>
      <c r="C13" s="6" t="n">
        <v>610.45</v>
      </c>
      <c r="D13" s="7" t="n">
        <f aca="false">(B6+C6)/(B12+C12)</f>
        <v>982.819166666667</v>
      </c>
      <c r="E13" s="7" t="s">
        <v>36</v>
      </c>
      <c r="F13" s="11" t="s">
        <v>26</v>
      </c>
      <c r="G13" s="7" t="s">
        <v>37</v>
      </c>
    </row>
    <row r="14" customFormat="false" ht="15" hidden="false" customHeight="false" outlineLevel="0" collapsed="false">
      <c r="A14" s="5" t="s">
        <v>38</v>
      </c>
      <c r="B14" s="9" t="n">
        <v>2.04</v>
      </c>
      <c r="C14" s="9" t="n">
        <v>1.73</v>
      </c>
      <c r="D14" s="7" t="n">
        <f aca="false">(B14+C14)/2</f>
        <v>1.885</v>
      </c>
      <c r="E14" s="7" t="s">
        <v>39</v>
      </c>
      <c r="F14" s="8" t="s">
        <v>12</v>
      </c>
      <c r="G14" s="7" t="s">
        <v>40</v>
      </c>
    </row>
    <row r="17" customFormat="false" ht="15" hidden="false" customHeight="false" outlineLevel="0" collapsed="false">
      <c r="A17" s="3" t="s">
        <v>41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21</v>
      </c>
      <c r="F18" s="4" t="s">
        <v>46</v>
      </c>
      <c r="G18" s="4" t="s">
        <v>47</v>
      </c>
      <c r="H18" s="4" t="s">
        <v>35</v>
      </c>
    </row>
    <row r="19" customFormat="false" ht="15" hidden="false" customHeight="false" outlineLevel="0" collapsed="false">
      <c r="A19" s="7" t="s">
        <v>48</v>
      </c>
      <c r="B19" s="7" t="s">
        <v>49</v>
      </c>
      <c r="C19" s="7" t="s">
        <v>50</v>
      </c>
      <c r="D19" s="6" t="n">
        <v>1615.3</v>
      </c>
      <c r="E19" s="9" t="n">
        <v>52</v>
      </c>
      <c r="F19" s="6" t="n">
        <v>1.28</v>
      </c>
      <c r="G19" s="9" t="n">
        <v>1</v>
      </c>
      <c r="H19" s="6" t="n">
        <v>1615.3</v>
      </c>
    </row>
    <row r="20" customFormat="false" ht="15" hidden="false" customHeight="false" outlineLevel="0" collapsed="false">
      <c r="A20" s="13" t="s">
        <v>48</v>
      </c>
      <c r="B20" s="13" t="s">
        <v>49</v>
      </c>
      <c r="C20" s="13" t="s">
        <v>51</v>
      </c>
      <c r="D20" s="14" t="n">
        <v>905.82</v>
      </c>
      <c r="E20" s="15" t="n">
        <v>23</v>
      </c>
      <c r="F20" s="14" t="n">
        <v>1.02</v>
      </c>
      <c r="G20" s="15" t="n">
        <v>0</v>
      </c>
      <c r="H20" s="15" t="n">
        <v>0</v>
      </c>
    </row>
    <row r="21" customFormat="false" ht="15" hidden="false" customHeight="false" outlineLevel="0" collapsed="false">
      <c r="A21" s="7" t="s">
        <v>48</v>
      </c>
      <c r="B21" s="7" t="s">
        <v>52</v>
      </c>
      <c r="C21" s="7" t="s">
        <v>51</v>
      </c>
      <c r="D21" s="6" t="n">
        <v>124.68</v>
      </c>
      <c r="E21" s="9" t="n">
        <v>0</v>
      </c>
      <c r="F21" s="9" t="n">
        <v>0</v>
      </c>
      <c r="G21" s="9" t="n">
        <v>0</v>
      </c>
      <c r="H21" s="9" t="n">
        <v>0</v>
      </c>
    </row>
    <row r="22" customFormat="false" ht="15" hidden="false" customHeight="false" outlineLevel="0" collapsed="false">
      <c r="A22" s="13" t="s">
        <v>48</v>
      </c>
      <c r="B22" s="13" t="s">
        <v>52</v>
      </c>
      <c r="C22" s="13" t="s">
        <v>50</v>
      </c>
      <c r="D22" s="14" t="n">
        <v>1642.13</v>
      </c>
      <c r="E22" s="15" t="n">
        <v>14</v>
      </c>
      <c r="F22" s="14" t="n">
        <v>0.89</v>
      </c>
      <c r="G22" s="15" t="n">
        <v>0</v>
      </c>
      <c r="H22" s="15" t="n">
        <v>0</v>
      </c>
    </row>
    <row r="23" customFormat="false" ht="15" hidden="false" customHeight="false" outlineLevel="0" collapsed="false">
      <c r="A23" s="7" t="s">
        <v>48</v>
      </c>
      <c r="B23" s="7" t="s">
        <v>53</v>
      </c>
      <c r="C23" s="7" t="s">
        <v>51</v>
      </c>
      <c r="D23" s="6" t="n">
        <v>71.09</v>
      </c>
      <c r="E23" s="9" t="n">
        <v>7</v>
      </c>
      <c r="F23" s="6" t="n">
        <v>2.13</v>
      </c>
      <c r="G23" s="9" t="n">
        <v>0</v>
      </c>
      <c r="H23" s="9" t="n">
        <v>0</v>
      </c>
    </row>
    <row r="24" customFormat="false" ht="15" hidden="false" customHeight="false" outlineLevel="0" collapsed="false">
      <c r="A24" s="7" t="s">
        <v>48</v>
      </c>
      <c r="B24" s="7" t="s">
        <v>53</v>
      </c>
      <c r="C24" s="7" t="s">
        <v>50</v>
      </c>
      <c r="D24" s="6" t="n">
        <v>1029.42</v>
      </c>
      <c r="E24" s="9" t="n">
        <v>47</v>
      </c>
      <c r="F24" s="6" t="n">
        <v>0.93</v>
      </c>
      <c r="G24" s="9" t="n">
        <v>1</v>
      </c>
      <c r="H24" s="6" t="n">
        <v>1029.42</v>
      </c>
    </row>
    <row r="25" customFormat="false" ht="15" hidden="false" customHeight="false" outlineLevel="0" collapsed="false">
      <c r="A25" s="13" t="s">
        <v>48</v>
      </c>
      <c r="B25" s="13" t="s">
        <v>54</v>
      </c>
      <c r="C25" s="13" t="s">
        <v>50</v>
      </c>
      <c r="D25" s="14" t="n">
        <v>1926.49</v>
      </c>
      <c r="E25" s="15" t="n">
        <v>29</v>
      </c>
      <c r="F25" s="14" t="n">
        <v>1.17</v>
      </c>
      <c r="G25" s="15" t="n">
        <v>0</v>
      </c>
      <c r="H25" s="15" t="n">
        <v>0</v>
      </c>
    </row>
    <row r="26" customFormat="false" ht="15" hidden="false" customHeight="false" outlineLevel="0" collapsed="false">
      <c r="A26" s="7" t="s">
        <v>48</v>
      </c>
      <c r="B26" s="7" t="s">
        <v>54</v>
      </c>
      <c r="C26" s="7" t="s">
        <v>51</v>
      </c>
      <c r="D26" s="6" t="n">
        <v>55.04</v>
      </c>
      <c r="E26" s="9" t="n">
        <v>1</v>
      </c>
      <c r="F26" s="6" t="n">
        <v>1.56</v>
      </c>
      <c r="G26" s="9" t="n">
        <v>0</v>
      </c>
      <c r="H26" s="9" t="n">
        <v>0</v>
      </c>
    </row>
    <row r="27" customFormat="false" ht="15" hidden="false" customHeight="false" outlineLevel="0" collapsed="false">
      <c r="A27" s="13" t="s">
        <v>48</v>
      </c>
      <c r="B27" s="13" t="s">
        <v>55</v>
      </c>
      <c r="C27" s="13" t="s">
        <v>56</v>
      </c>
      <c r="D27" s="14" t="n">
        <v>1635.01</v>
      </c>
      <c r="E27" s="15" t="n">
        <v>30</v>
      </c>
      <c r="F27" s="14" t="n">
        <v>0.75</v>
      </c>
      <c r="G27" s="15" t="n">
        <v>0</v>
      </c>
      <c r="H27" s="15" t="n">
        <v>0</v>
      </c>
    </row>
    <row r="28" customFormat="false" ht="15" hidden="false" customHeight="false" outlineLevel="0" collapsed="false">
      <c r="A28" s="16" t="s">
        <v>48</v>
      </c>
      <c r="B28" s="16" t="s">
        <v>55</v>
      </c>
      <c r="C28" s="16" t="s">
        <v>57</v>
      </c>
      <c r="D28" s="17" t="n">
        <v>949.47</v>
      </c>
      <c r="E28" s="18" t="n">
        <v>16</v>
      </c>
      <c r="F28" s="17" t="n">
        <v>1.11</v>
      </c>
      <c r="G28" s="18" t="n">
        <v>2</v>
      </c>
      <c r="H28" s="17" t="n">
        <v>474.74</v>
      </c>
    </row>
    <row r="29" customFormat="false" ht="15" hidden="false" customHeight="false" outlineLevel="0" collapsed="false">
      <c r="A29" s="13" t="s">
        <v>48</v>
      </c>
      <c r="B29" s="13" t="s">
        <v>55</v>
      </c>
      <c r="C29" s="13" t="s">
        <v>58</v>
      </c>
      <c r="D29" s="14" t="n">
        <v>866.83</v>
      </c>
      <c r="E29" s="15" t="n">
        <v>20</v>
      </c>
      <c r="F29" s="14" t="n">
        <v>0.81</v>
      </c>
      <c r="G29" s="15" t="n">
        <v>0</v>
      </c>
      <c r="H29" s="15" t="n">
        <v>0</v>
      </c>
    </row>
    <row r="30" customFormat="false" ht="15" hidden="false" customHeight="false" outlineLevel="0" collapsed="false">
      <c r="A30" s="7" t="s">
        <v>48</v>
      </c>
      <c r="B30" s="7" t="s">
        <v>53</v>
      </c>
      <c r="C30" s="7" t="s">
        <v>59</v>
      </c>
      <c r="D30" s="6" t="n">
        <v>5928.55</v>
      </c>
      <c r="E30" s="9" t="n">
        <v>562</v>
      </c>
      <c r="F30" s="6" t="n">
        <v>0.62</v>
      </c>
      <c r="G30" s="9" t="n">
        <v>4</v>
      </c>
      <c r="H30" s="6" t="n">
        <v>1482.14</v>
      </c>
    </row>
    <row r="31" customFormat="false" ht="15" hidden="false" customHeight="false" outlineLevel="0" collapsed="false">
      <c r="A31" s="13" t="s">
        <v>48</v>
      </c>
      <c r="B31" s="13" t="s">
        <v>49</v>
      </c>
      <c r="C31" s="13" t="s">
        <v>59</v>
      </c>
      <c r="D31" s="14" t="n">
        <v>940.95</v>
      </c>
      <c r="E31" s="15" t="n">
        <v>62</v>
      </c>
      <c r="F31" s="14" t="n">
        <v>1.01</v>
      </c>
      <c r="G31" s="15" t="n">
        <v>0</v>
      </c>
      <c r="H31" s="15" t="n">
        <v>0</v>
      </c>
    </row>
    <row r="32" customFormat="false" ht="15" hidden="false" customHeight="false" outlineLevel="0" collapsed="false">
      <c r="A32" s="7" t="s">
        <v>48</v>
      </c>
      <c r="B32" s="7" t="s">
        <v>52</v>
      </c>
      <c r="C32" s="7" t="s">
        <v>59</v>
      </c>
      <c r="D32" s="6" t="n">
        <v>1543.62</v>
      </c>
      <c r="E32" s="9" t="n">
        <v>36</v>
      </c>
      <c r="F32" s="6" t="n">
        <v>0.58</v>
      </c>
      <c r="G32" s="9" t="n">
        <v>1</v>
      </c>
      <c r="H32" s="6" t="n">
        <v>1543.62</v>
      </c>
    </row>
    <row r="33" customFormat="false" ht="15" hidden="false" customHeight="false" outlineLevel="0" collapsed="false">
      <c r="A33" s="16" t="s">
        <v>48</v>
      </c>
      <c r="B33" s="16" t="s">
        <v>54</v>
      </c>
      <c r="C33" s="16" t="s">
        <v>59</v>
      </c>
      <c r="D33" s="17" t="n">
        <v>1496.37</v>
      </c>
      <c r="E33" s="18" t="n">
        <v>61</v>
      </c>
      <c r="F33" s="17" t="n">
        <v>1.02</v>
      </c>
      <c r="G33" s="18" t="n">
        <v>3</v>
      </c>
      <c r="H33" s="17" t="n">
        <v>498.79</v>
      </c>
    </row>
    <row r="34" customFormat="false" ht="15" hidden="false" customHeight="false" outlineLevel="0" collapsed="false">
      <c r="A34" s="16" t="s">
        <v>60</v>
      </c>
      <c r="B34" s="16" t="s">
        <v>61</v>
      </c>
      <c r="C34" s="16" t="s">
        <v>62</v>
      </c>
      <c r="D34" s="17" t="n">
        <v>2061.08</v>
      </c>
      <c r="E34" s="18" t="n">
        <v>105</v>
      </c>
      <c r="F34" s="17" t="n">
        <v>0.65</v>
      </c>
      <c r="G34" s="18" t="n">
        <v>5</v>
      </c>
      <c r="H34" s="17" t="n">
        <v>412.22</v>
      </c>
    </row>
    <row r="35" customFormat="false" ht="15" hidden="false" customHeight="false" outlineLevel="0" collapsed="false">
      <c r="A35" s="7" t="s">
        <v>60</v>
      </c>
      <c r="B35" s="7" t="s">
        <v>61</v>
      </c>
      <c r="C35" s="7" t="s">
        <v>63</v>
      </c>
      <c r="D35" s="6" t="n">
        <v>200.85</v>
      </c>
      <c r="E35" s="9" t="n">
        <v>3</v>
      </c>
      <c r="F35" s="6" t="n">
        <v>1.12</v>
      </c>
      <c r="G35" s="9" t="n">
        <v>0</v>
      </c>
      <c r="H35" s="9" t="n">
        <v>0</v>
      </c>
    </row>
    <row r="36" customFormat="false" ht="15" hidden="false" customHeight="false" outlineLevel="0" collapsed="false">
      <c r="A36" s="7" t="s">
        <v>60</v>
      </c>
      <c r="B36" s="7" t="s">
        <v>61</v>
      </c>
      <c r="C36" s="7" t="s">
        <v>64</v>
      </c>
      <c r="D36" s="6" t="n">
        <v>39.65</v>
      </c>
      <c r="E36" s="9" t="n">
        <v>0</v>
      </c>
      <c r="F36" s="9" t="n">
        <v>0</v>
      </c>
      <c r="G36" s="9" t="n">
        <v>0</v>
      </c>
      <c r="H36" s="9" t="n">
        <v>0</v>
      </c>
    </row>
    <row r="37" customFormat="false" ht="15" hidden="false" customHeight="false" outlineLevel="0" collapsed="false">
      <c r="A37" s="16" t="s">
        <v>60</v>
      </c>
      <c r="B37" s="16" t="s">
        <v>61</v>
      </c>
      <c r="C37" s="16" t="s">
        <v>65</v>
      </c>
      <c r="D37" s="17" t="n">
        <v>4228.69</v>
      </c>
      <c r="E37" s="18" t="n">
        <v>280</v>
      </c>
      <c r="F37" s="17" t="n">
        <v>1.42</v>
      </c>
      <c r="G37" s="18" t="n">
        <v>9</v>
      </c>
      <c r="H37" s="17" t="n">
        <v>469.85</v>
      </c>
    </row>
    <row r="38" customFormat="false" ht="15" hidden="false" customHeight="false" outlineLevel="0" collapsed="false">
      <c r="A38" s="13" t="s">
        <v>60</v>
      </c>
      <c r="B38" s="13" t="s">
        <v>61</v>
      </c>
      <c r="C38" s="13" t="s">
        <v>66</v>
      </c>
      <c r="D38" s="14" t="n">
        <v>920.76</v>
      </c>
      <c r="E38" s="15" t="n">
        <v>18</v>
      </c>
      <c r="F38" s="14" t="n">
        <v>0.73</v>
      </c>
      <c r="G38" s="15" t="n">
        <v>0</v>
      </c>
      <c r="H38" s="15" t="n">
        <v>0</v>
      </c>
    </row>
    <row r="39" customFormat="false" ht="15" hidden="false" customHeight="false" outlineLevel="0" collapsed="false">
      <c r="A39" s="7" t="s">
        <v>60</v>
      </c>
      <c r="B39" s="7" t="s">
        <v>61</v>
      </c>
      <c r="C39" s="7" t="s">
        <v>67</v>
      </c>
      <c r="D39" s="6" t="n">
        <v>7102.35</v>
      </c>
      <c r="E39" s="9" t="n">
        <v>151</v>
      </c>
      <c r="F39" s="6" t="n">
        <v>0.65</v>
      </c>
      <c r="G39" s="9" t="n">
        <v>10</v>
      </c>
      <c r="H39" s="6" t="n">
        <v>710.24</v>
      </c>
    </row>
    <row r="40" customFormat="false" ht="15" hidden="false" customHeight="false" outlineLevel="0" collapsed="false">
      <c r="A40" s="7" t="s">
        <v>60</v>
      </c>
      <c r="B40" s="7" t="s">
        <v>61</v>
      </c>
      <c r="C40" s="7" t="s">
        <v>68</v>
      </c>
      <c r="D40" s="6" t="n">
        <v>22.24</v>
      </c>
      <c r="E40" s="9" t="n">
        <v>2</v>
      </c>
      <c r="F40" s="6" t="n">
        <v>1.55</v>
      </c>
      <c r="G40" s="9" t="n">
        <v>0</v>
      </c>
      <c r="H40" s="9" t="n">
        <v>0</v>
      </c>
    </row>
    <row r="41" customFormat="false" ht="15" hidden="false" customHeight="false" outlineLevel="0" collapsed="false">
      <c r="A41" s="7" t="s">
        <v>60</v>
      </c>
      <c r="B41" s="7" t="s">
        <v>61</v>
      </c>
      <c r="C41" s="7" t="s">
        <v>69</v>
      </c>
      <c r="D41" s="6" t="n">
        <v>75.1</v>
      </c>
      <c r="E41" s="9" t="n">
        <v>2</v>
      </c>
      <c r="F41" s="6" t="n">
        <v>1.96</v>
      </c>
      <c r="G41" s="9" t="n">
        <v>0</v>
      </c>
      <c r="H41" s="9" t="n">
        <v>0</v>
      </c>
    </row>
    <row r="43" customFormat="false" ht="15" hidden="false" customHeight="false" outlineLevel="0" collapsed="false">
      <c r="A43" s="3" t="s">
        <v>70</v>
      </c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19" t="s">
        <v>71</v>
      </c>
      <c r="B44" s="19"/>
      <c r="C44" s="19"/>
      <c r="D44" s="19"/>
      <c r="E44" s="19"/>
      <c r="F44" s="19"/>
      <c r="G44" s="19"/>
      <c r="H44" s="19"/>
    </row>
    <row r="45" customFormat="false" ht="15" hidden="false" customHeight="false" outlineLevel="0" collapsed="false">
      <c r="A45" s="20" t="s">
        <v>72</v>
      </c>
      <c r="B45" s="20"/>
      <c r="C45" s="20"/>
      <c r="D45" s="20"/>
      <c r="E45" s="20"/>
      <c r="F45" s="20"/>
      <c r="G45" s="20"/>
      <c r="H45" s="20"/>
    </row>
    <row r="46" customFormat="false" ht="15" hidden="false" customHeight="false" outlineLevel="0" collapsed="false">
      <c r="A46" s="20" t="s">
        <v>73</v>
      </c>
      <c r="B46" s="20"/>
      <c r="C46" s="20"/>
      <c r="D46" s="20"/>
      <c r="E46" s="20"/>
      <c r="F46" s="20"/>
      <c r="G46" s="20"/>
      <c r="H46" s="20"/>
    </row>
    <row r="47" customFormat="false" ht="15" hidden="false" customHeight="false" outlineLevel="0" collapsed="false">
      <c r="A47" s="20" t="s">
        <v>74</v>
      </c>
      <c r="B47" s="20"/>
      <c r="C47" s="20"/>
      <c r="D47" s="20"/>
      <c r="E47" s="20"/>
      <c r="F47" s="20"/>
      <c r="G47" s="20"/>
      <c r="H47" s="20"/>
    </row>
    <row r="48" customFormat="false" ht="15" hidden="false" customHeight="false" outlineLevel="0" collapsed="false">
      <c r="A48" s="19" t="s">
        <v>75</v>
      </c>
      <c r="B48" s="19"/>
      <c r="C48" s="19"/>
      <c r="D48" s="19"/>
      <c r="E48" s="19"/>
      <c r="F48" s="19"/>
      <c r="G48" s="19"/>
      <c r="H48" s="19"/>
    </row>
    <row r="49" customFormat="false" ht="15" hidden="false" customHeight="false" outlineLevel="0" collapsed="false">
      <c r="A49" s="19" t="s">
        <v>76</v>
      </c>
      <c r="B49" s="19"/>
      <c r="C49" s="19"/>
      <c r="D49" s="19"/>
      <c r="E49" s="19"/>
      <c r="F49" s="19"/>
      <c r="G49" s="19"/>
      <c r="H49" s="19"/>
    </row>
    <row r="50" customFormat="false" ht="15" hidden="false" customHeight="false" outlineLevel="0" collapsed="false">
      <c r="A50" s="19" t="s">
        <v>77</v>
      </c>
      <c r="B50" s="19"/>
      <c r="C50" s="19"/>
      <c r="D50" s="19"/>
      <c r="E50" s="19"/>
      <c r="F50" s="19"/>
      <c r="G50" s="19"/>
      <c r="H50" s="19"/>
    </row>
    <row r="51" customFormat="false" ht="15" hidden="false" customHeight="false" outlineLevel="0" collapsed="false">
      <c r="A51" s="21" t="s">
        <v>78</v>
      </c>
      <c r="B51" s="21"/>
      <c r="C51" s="21"/>
      <c r="D51" s="21"/>
      <c r="E51" s="21"/>
      <c r="F51" s="21"/>
      <c r="G51" s="21"/>
      <c r="H51" s="21"/>
    </row>
    <row r="52" customFormat="false" ht="15" hidden="false" customHeight="false" outlineLevel="0" collapsed="false">
      <c r="A52" s="21" t="s">
        <v>79</v>
      </c>
      <c r="B52" s="21"/>
      <c r="C52" s="21"/>
      <c r="D52" s="21"/>
      <c r="E52" s="21"/>
      <c r="F52" s="21"/>
      <c r="G52" s="21"/>
      <c r="H52" s="21"/>
    </row>
    <row r="53" customFormat="false" ht="15" hidden="false" customHeight="false" outlineLevel="0" collapsed="false">
      <c r="A53" s="21" t="s">
        <v>80</v>
      </c>
      <c r="B53" s="21"/>
      <c r="C53" s="21"/>
      <c r="D53" s="21"/>
      <c r="E53" s="21"/>
      <c r="F53" s="21"/>
      <c r="G53" s="21"/>
      <c r="H53" s="21"/>
    </row>
  </sheetData>
  <mergeCells count="15">
    <mergeCell ref="A1:H1"/>
    <mergeCell ref="A2:H2"/>
    <mergeCell ref="A4:H4"/>
    <mergeCell ref="A17:H17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22" t="s">
        <v>81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23" t="s">
        <v>82</v>
      </c>
      <c r="B3" s="23"/>
      <c r="C3" s="23"/>
      <c r="D3" s="23"/>
      <c r="E3" s="23"/>
      <c r="F3" s="23"/>
    </row>
    <row r="4" customFormat="false" ht="15" hidden="false" customHeight="false" outlineLevel="0" collapsed="false">
      <c r="A4" s="24" t="s">
        <v>44</v>
      </c>
      <c r="B4" s="24" t="s">
        <v>43</v>
      </c>
      <c r="C4" s="24" t="s">
        <v>45</v>
      </c>
      <c r="D4" s="24" t="s">
        <v>47</v>
      </c>
      <c r="E4" s="24" t="s">
        <v>83</v>
      </c>
      <c r="F4" s="24" t="s">
        <v>84</v>
      </c>
    </row>
    <row r="5" customFormat="false" ht="15" hidden="false" customHeight="false" outlineLevel="0" collapsed="false">
      <c r="A5" s="13" t="s">
        <v>56</v>
      </c>
      <c r="B5" s="13" t="s">
        <v>55</v>
      </c>
      <c r="C5" s="14" t="n">
        <v>1635.01</v>
      </c>
      <c r="D5" s="13" t="n">
        <v>0</v>
      </c>
      <c r="E5" s="13" t="n">
        <v>0</v>
      </c>
      <c r="F5" s="13" t="s">
        <v>85</v>
      </c>
    </row>
    <row r="6" customFormat="false" ht="15" hidden="false" customHeight="false" outlineLevel="0" collapsed="false">
      <c r="A6" s="13" t="s">
        <v>50</v>
      </c>
      <c r="B6" s="13" t="s">
        <v>52</v>
      </c>
      <c r="C6" s="14" t="n">
        <v>1642.13</v>
      </c>
      <c r="D6" s="13" t="n">
        <v>0</v>
      </c>
      <c r="E6" s="13" t="n">
        <v>0</v>
      </c>
      <c r="F6" s="13" t="s">
        <v>85</v>
      </c>
    </row>
    <row r="7" customFormat="false" ht="15" hidden="false" customHeight="false" outlineLevel="0" collapsed="false">
      <c r="A7" s="13" t="s">
        <v>51</v>
      </c>
      <c r="B7" s="13" t="s">
        <v>52</v>
      </c>
      <c r="C7" s="14" t="n">
        <v>124.68</v>
      </c>
      <c r="D7" s="13" t="n">
        <v>0</v>
      </c>
      <c r="E7" s="13" t="n">
        <v>0</v>
      </c>
      <c r="F7" s="13" t="s">
        <v>86</v>
      </c>
    </row>
    <row r="8" customFormat="false" ht="15" hidden="false" customHeight="false" outlineLevel="0" collapsed="false">
      <c r="A8" s="13" t="s">
        <v>51</v>
      </c>
      <c r="B8" s="13" t="s">
        <v>49</v>
      </c>
      <c r="C8" s="14" t="n">
        <v>905.82</v>
      </c>
      <c r="D8" s="13" t="n">
        <v>0</v>
      </c>
      <c r="E8" s="13" t="n">
        <v>0</v>
      </c>
      <c r="F8" s="13" t="s">
        <v>87</v>
      </c>
    </row>
    <row r="9" customFormat="false" ht="15" hidden="false" customHeight="false" outlineLevel="0" collapsed="false">
      <c r="A9" s="13" t="s">
        <v>58</v>
      </c>
      <c r="B9" s="13" t="s">
        <v>55</v>
      </c>
      <c r="C9" s="14" t="n">
        <v>866.83</v>
      </c>
      <c r="D9" s="13" t="n">
        <v>0</v>
      </c>
      <c r="E9" s="13" t="n">
        <v>0</v>
      </c>
      <c r="F9" s="13" t="s">
        <v>88</v>
      </c>
    </row>
    <row r="10" customFormat="false" ht="15" hidden="false" customHeight="false" outlineLevel="0" collapsed="false">
      <c r="A10" s="13" t="s">
        <v>66</v>
      </c>
      <c r="B10" s="13" t="s">
        <v>61</v>
      </c>
      <c r="C10" s="14" t="n">
        <v>920.76</v>
      </c>
      <c r="D10" s="13" t="n">
        <v>0</v>
      </c>
      <c r="E10" s="13" t="n">
        <v>0</v>
      </c>
      <c r="F10" s="13" t="s">
        <v>85</v>
      </c>
    </row>
    <row r="11" customFormat="false" ht="15" hidden="false" customHeight="false" outlineLevel="0" collapsed="false">
      <c r="A11" s="13" t="s">
        <v>64</v>
      </c>
      <c r="B11" s="13" t="s">
        <v>61</v>
      </c>
      <c r="C11" s="14" t="n">
        <v>39.65</v>
      </c>
      <c r="D11" s="13" t="n">
        <v>0</v>
      </c>
      <c r="E11" s="13" t="n">
        <v>0</v>
      </c>
      <c r="F11" s="13" t="s">
        <v>86</v>
      </c>
    </row>
    <row r="13" customFormat="false" ht="15" hidden="false" customHeight="false" outlineLevel="0" collapsed="false">
      <c r="A13" s="25" t="s">
        <v>89</v>
      </c>
      <c r="B13" s="25"/>
      <c r="C13" s="25"/>
      <c r="D13" s="25"/>
      <c r="E13" s="25"/>
      <c r="F13" s="25"/>
    </row>
    <row r="14" customFormat="false" ht="15" hidden="false" customHeight="false" outlineLevel="0" collapsed="false">
      <c r="A14" s="24" t="s">
        <v>44</v>
      </c>
      <c r="B14" s="24" t="s">
        <v>43</v>
      </c>
      <c r="C14" s="24" t="s">
        <v>45</v>
      </c>
      <c r="D14" s="24" t="s">
        <v>47</v>
      </c>
      <c r="E14" s="24" t="s">
        <v>35</v>
      </c>
      <c r="F14" s="24" t="s">
        <v>90</v>
      </c>
    </row>
    <row r="15" customFormat="false" ht="15" hidden="false" customHeight="false" outlineLevel="0" collapsed="false">
      <c r="A15" s="16" t="s">
        <v>62</v>
      </c>
      <c r="B15" s="16" t="s">
        <v>61</v>
      </c>
      <c r="C15" s="17" t="n">
        <v>2061.08</v>
      </c>
      <c r="D15" s="16" t="n">
        <v>5</v>
      </c>
      <c r="E15" s="17" t="n">
        <v>412.22</v>
      </c>
      <c r="F15" s="16" t="s">
        <v>91</v>
      </c>
    </row>
    <row r="16" customFormat="false" ht="15" hidden="false" customHeight="false" outlineLevel="0" collapsed="false">
      <c r="A16" s="16" t="s">
        <v>65</v>
      </c>
      <c r="B16" s="16" t="s">
        <v>61</v>
      </c>
      <c r="C16" s="17" t="n">
        <v>4228.69</v>
      </c>
      <c r="D16" s="16" t="n">
        <v>9</v>
      </c>
      <c r="E16" s="17" t="n">
        <v>469.85</v>
      </c>
      <c r="F16" s="16" t="s">
        <v>92</v>
      </c>
    </row>
    <row r="17" customFormat="false" ht="15" hidden="false" customHeight="false" outlineLevel="0" collapsed="false">
      <c r="A17" s="16" t="s">
        <v>59</v>
      </c>
      <c r="B17" s="16" t="s">
        <v>93</v>
      </c>
      <c r="C17" s="17" t="n">
        <v>1496.37</v>
      </c>
      <c r="D17" s="16" t="n">
        <v>3</v>
      </c>
      <c r="E17" s="17" t="n">
        <v>498.79</v>
      </c>
      <c r="F17" s="16" t="s">
        <v>94</v>
      </c>
    </row>
    <row r="18" customFormat="false" ht="15" hidden="false" customHeight="false" outlineLevel="0" collapsed="false">
      <c r="A18" s="16" t="s">
        <v>57</v>
      </c>
      <c r="B18" s="16" t="s">
        <v>55</v>
      </c>
      <c r="C18" s="17" t="n">
        <v>949.47</v>
      </c>
      <c r="D18" s="16" t="n">
        <v>2</v>
      </c>
      <c r="E18" s="17" t="n">
        <v>474.74</v>
      </c>
      <c r="F18" s="16" t="s">
        <v>95</v>
      </c>
    </row>
    <row r="20" customFormat="false" ht="15" hidden="false" customHeight="false" outlineLevel="0" collapsed="false">
      <c r="A20" s="26" t="s">
        <v>96</v>
      </c>
      <c r="B20" s="26"/>
      <c r="C20" s="26"/>
      <c r="D20" s="26"/>
      <c r="E20" s="26"/>
      <c r="F20" s="26"/>
    </row>
    <row r="21" customFormat="false" ht="15" hidden="false" customHeight="false" outlineLevel="0" collapsed="false">
      <c r="A21" s="24" t="s">
        <v>44</v>
      </c>
      <c r="B21" s="24" t="s">
        <v>43</v>
      </c>
      <c r="C21" s="24" t="s">
        <v>45</v>
      </c>
      <c r="D21" s="24" t="s">
        <v>47</v>
      </c>
      <c r="E21" s="24" t="s">
        <v>35</v>
      </c>
      <c r="F21" s="24" t="s">
        <v>90</v>
      </c>
    </row>
    <row r="22" customFormat="false" ht="15" hidden="false" customHeight="false" outlineLevel="0" collapsed="false">
      <c r="A22" s="27" t="s">
        <v>67</v>
      </c>
      <c r="B22" s="27" t="s">
        <v>61</v>
      </c>
      <c r="C22" s="28" t="n">
        <v>7102.35</v>
      </c>
      <c r="D22" s="27" t="n">
        <v>10</v>
      </c>
      <c r="E22" s="28" t="n">
        <v>710.24</v>
      </c>
      <c r="F22" s="27" t="s">
        <v>97</v>
      </c>
    </row>
    <row r="23" customFormat="false" ht="15" hidden="false" customHeight="false" outlineLevel="0" collapsed="false">
      <c r="A23" s="27" t="s">
        <v>59</v>
      </c>
      <c r="B23" s="27" t="s">
        <v>53</v>
      </c>
      <c r="C23" s="28" t="n">
        <v>5928.55</v>
      </c>
      <c r="D23" s="27" t="n">
        <v>4</v>
      </c>
      <c r="E23" s="28" t="n">
        <v>1482.14</v>
      </c>
      <c r="F23" s="27" t="s">
        <v>98</v>
      </c>
    </row>
    <row r="24" customFormat="false" ht="15" hidden="false" customHeight="false" outlineLevel="0" collapsed="false">
      <c r="A24" s="27" t="s">
        <v>59</v>
      </c>
      <c r="B24" s="27" t="s">
        <v>52</v>
      </c>
      <c r="C24" s="28" t="n">
        <v>1543.62</v>
      </c>
      <c r="D24" s="27" t="n">
        <v>1</v>
      </c>
      <c r="E24" s="28" t="n">
        <v>1543.62</v>
      </c>
      <c r="F24" s="27" t="s">
        <v>99</v>
      </c>
    </row>
    <row r="25" customFormat="false" ht="15" hidden="false" customHeight="false" outlineLevel="0" collapsed="false">
      <c r="A25" s="27" t="s">
        <v>50</v>
      </c>
      <c r="B25" s="27" t="s">
        <v>53</v>
      </c>
      <c r="C25" s="28" t="n">
        <v>1029.42</v>
      </c>
      <c r="D25" s="27" t="n">
        <v>1</v>
      </c>
      <c r="E25" s="28" t="n">
        <v>1029.42</v>
      </c>
      <c r="F25" s="27" t="s">
        <v>100</v>
      </c>
    </row>
  </sheetData>
  <mergeCells count="4">
    <mergeCell ref="A1:F1"/>
    <mergeCell ref="A3:F3"/>
    <mergeCell ref="A13:F1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5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5"/>
  </cols>
  <sheetData>
    <row r="1" customFormat="false" ht="22.05" hidden="false" customHeight="false" outlineLevel="0" collapsed="false">
      <c r="A1" s="29" t="s">
        <v>101</v>
      </c>
      <c r="B1" s="29"/>
      <c r="C1" s="29"/>
      <c r="D1" s="29"/>
      <c r="E1" s="29"/>
      <c r="F1" s="29"/>
      <c r="G1" s="29"/>
    </row>
    <row r="2" customFormat="false" ht="15" hidden="false" customHeight="false" outlineLevel="0" collapsed="false">
      <c r="A2" s="30" t="s">
        <v>102</v>
      </c>
      <c r="B2" s="30"/>
      <c r="C2" s="30"/>
      <c r="D2" s="30"/>
      <c r="E2" s="30"/>
      <c r="F2" s="30"/>
      <c r="G2" s="30"/>
    </row>
    <row r="4" customFormat="false" ht="15" hidden="false" customHeight="false" outlineLevel="0" collapsed="false">
      <c r="A4" s="3" t="s">
        <v>103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24" t="s">
        <v>104</v>
      </c>
      <c r="B5" s="24" t="s">
        <v>105</v>
      </c>
      <c r="C5" s="24" t="s">
        <v>84</v>
      </c>
    </row>
    <row r="6" customFormat="false" ht="15" hidden="false" customHeight="false" outlineLevel="0" collapsed="false">
      <c r="A6" s="5" t="s">
        <v>106</v>
      </c>
      <c r="B6" s="7" t="s">
        <v>107</v>
      </c>
      <c r="C6" s="7" t="s">
        <v>108</v>
      </c>
    </row>
    <row r="7" customFormat="false" ht="15" hidden="false" customHeight="false" outlineLevel="0" collapsed="false">
      <c r="A7" s="5" t="s">
        <v>109</v>
      </c>
      <c r="B7" s="7" t="s">
        <v>110</v>
      </c>
      <c r="C7" s="7" t="s">
        <v>111</v>
      </c>
    </row>
    <row r="8" customFormat="false" ht="15" hidden="false" customHeight="false" outlineLevel="0" collapsed="false">
      <c r="A8" s="5" t="s">
        <v>112</v>
      </c>
      <c r="B8" s="7" t="s">
        <v>113</v>
      </c>
      <c r="C8" s="7" t="s">
        <v>114</v>
      </c>
    </row>
    <row r="9" customFormat="false" ht="15" hidden="false" customHeight="false" outlineLevel="0" collapsed="false">
      <c r="A9" s="5" t="s">
        <v>115</v>
      </c>
      <c r="B9" s="7" t="s">
        <v>116</v>
      </c>
      <c r="C9" s="7" t="s">
        <v>117</v>
      </c>
    </row>
    <row r="10" customFormat="false" ht="15" hidden="false" customHeight="false" outlineLevel="0" collapsed="false">
      <c r="A10" s="5" t="s">
        <v>118</v>
      </c>
      <c r="B10" s="7" t="s">
        <v>119</v>
      </c>
      <c r="C10" s="7" t="s">
        <v>120</v>
      </c>
    </row>
    <row r="11" customFormat="false" ht="15" hidden="false" customHeight="false" outlineLevel="0" collapsed="false">
      <c r="A11" s="5" t="s">
        <v>121</v>
      </c>
      <c r="B11" s="7" t="s">
        <v>122</v>
      </c>
      <c r="C11" s="7" t="s">
        <v>123</v>
      </c>
    </row>
    <row r="12" customFormat="false" ht="15" hidden="false" customHeight="false" outlineLevel="0" collapsed="false">
      <c r="A12" s="5" t="s">
        <v>124</v>
      </c>
      <c r="B12" s="7" t="s">
        <v>125</v>
      </c>
      <c r="C12" s="7" t="s">
        <v>126</v>
      </c>
    </row>
    <row r="14" customFormat="false" ht="15" hidden="false" customHeight="false" outlineLevel="0" collapsed="false">
      <c r="A14" s="3" t="s">
        <v>127</v>
      </c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31" t="s">
        <v>128</v>
      </c>
      <c r="B15" s="31" t="s">
        <v>129</v>
      </c>
      <c r="C15" s="31" t="s">
        <v>130</v>
      </c>
      <c r="D15" s="31" t="s">
        <v>131</v>
      </c>
      <c r="E15" s="31" t="s">
        <v>132</v>
      </c>
      <c r="F15" s="31" t="s">
        <v>133</v>
      </c>
    </row>
    <row r="16" customFormat="false" ht="60" hidden="false" customHeight="true" outlineLevel="0" collapsed="false">
      <c r="A16" s="32" t="s">
        <v>134</v>
      </c>
      <c r="B16" s="33" t="s">
        <v>135</v>
      </c>
      <c r="C16" s="33" t="s">
        <v>136</v>
      </c>
      <c r="D16" s="33" t="s">
        <v>137</v>
      </c>
      <c r="E16" s="33" t="s">
        <v>138</v>
      </c>
      <c r="F16" s="33" t="s">
        <v>139</v>
      </c>
    </row>
    <row r="17" customFormat="false" ht="60" hidden="false" customHeight="true" outlineLevel="0" collapsed="false">
      <c r="A17" s="32" t="s">
        <v>140</v>
      </c>
      <c r="B17" s="33" t="s">
        <v>141</v>
      </c>
      <c r="C17" s="33" t="s">
        <v>142</v>
      </c>
      <c r="D17" s="33" t="s">
        <v>143</v>
      </c>
      <c r="E17" s="33" t="s">
        <v>144</v>
      </c>
      <c r="F17" s="33" t="s">
        <v>145</v>
      </c>
    </row>
    <row r="18" customFormat="false" ht="60" hidden="false" customHeight="true" outlineLevel="0" collapsed="false">
      <c r="A18" s="32" t="s">
        <v>146</v>
      </c>
      <c r="B18" s="33" t="s">
        <v>147</v>
      </c>
      <c r="C18" s="33" t="s">
        <v>148</v>
      </c>
      <c r="D18" s="33" t="s">
        <v>149</v>
      </c>
      <c r="E18" s="33" t="s">
        <v>144</v>
      </c>
      <c r="F18" s="33" t="s">
        <v>150</v>
      </c>
    </row>
    <row r="19" customFormat="false" ht="60" hidden="false" customHeight="true" outlineLevel="0" collapsed="false">
      <c r="A19" s="32" t="s">
        <v>151</v>
      </c>
      <c r="B19" s="33" t="s">
        <v>152</v>
      </c>
      <c r="C19" s="33" t="s">
        <v>153</v>
      </c>
      <c r="D19" s="33" t="s">
        <v>154</v>
      </c>
      <c r="E19" s="33" t="s">
        <v>155</v>
      </c>
      <c r="F19" s="33" t="s">
        <v>156</v>
      </c>
    </row>
    <row r="21" customFormat="false" ht="15" hidden="false" customHeight="false" outlineLevel="0" collapsed="false">
      <c r="A21" s="3" t="s">
        <v>157</v>
      </c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1" t="s">
        <v>158</v>
      </c>
      <c r="B22" s="31" t="s">
        <v>159</v>
      </c>
      <c r="C22" s="31" t="s">
        <v>160</v>
      </c>
      <c r="D22" s="31" t="s">
        <v>161</v>
      </c>
      <c r="E22" s="31" t="s">
        <v>162</v>
      </c>
      <c r="F22" s="31" t="s">
        <v>163</v>
      </c>
    </row>
    <row r="23" customFormat="false" ht="69.75" hidden="false" customHeight="true" outlineLevel="0" collapsed="false">
      <c r="A23" s="32" t="s">
        <v>164</v>
      </c>
      <c r="B23" s="33" t="s">
        <v>165</v>
      </c>
      <c r="C23" s="33" t="s">
        <v>166</v>
      </c>
      <c r="D23" s="33" t="s">
        <v>167</v>
      </c>
      <c r="E23" s="33" t="s">
        <v>168</v>
      </c>
      <c r="F23" s="33" t="s">
        <v>169</v>
      </c>
    </row>
    <row r="24" customFormat="false" ht="69.75" hidden="false" customHeight="true" outlineLevel="0" collapsed="false">
      <c r="A24" s="32" t="s">
        <v>170</v>
      </c>
      <c r="B24" s="33" t="s">
        <v>171</v>
      </c>
      <c r="C24" s="33" t="s">
        <v>172</v>
      </c>
      <c r="D24" s="33" t="s">
        <v>173</v>
      </c>
      <c r="E24" s="33" t="s">
        <v>174</v>
      </c>
      <c r="F24" s="33" t="s">
        <v>175</v>
      </c>
    </row>
    <row r="25" customFormat="false" ht="69.75" hidden="false" customHeight="true" outlineLevel="0" collapsed="false">
      <c r="A25" s="32" t="s">
        <v>176</v>
      </c>
      <c r="B25" s="33" t="s">
        <v>177</v>
      </c>
      <c r="C25" s="33" t="s">
        <v>178</v>
      </c>
      <c r="D25" s="33" t="s">
        <v>179</v>
      </c>
      <c r="E25" s="33" t="s">
        <v>180</v>
      </c>
      <c r="F25" s="33" t="s">
        <v>181</v>
      </c>
    </row>
    <row r="26" customFormat="false" ht="69.75" hidden="false" customHeight="true" outlineLevel="0" collapsed="false">
      <c r="A26" s="32" t="s">
        <v>182</v>
      </c>
      <c r="B26" s="33" t="s">
        <v>183</v>
      </c>
      <c r="C26" s="33" t="s">
        <v>184</v>
      </c>
      <c r="D26" s="33" t="s">
        <v>185</v>
      </c>
      <c r="E26" s="33" t="s">
        <v>186</v>
      </c>
      <c r="F26" s="33" t="s">
        <v>187</v>
      </c>
    </row>
    <row r="27" customFormat="false" ht="69.75" hidden="false" customHeight="true" outlineLevel="0" collapsed="false">
      <c r="A27" s="32" t="s">
        <v>188</v>
      </c>
      <c r="B27" s="33" t="s">
        <v>189</v>
      </c>
      <c r="C27" s="33" t="s">
        <v>190</v>
      </c>
      <c r="D27" s="33" t="s">
        <v>191</v>
      </c>
      <c r="E27" s="33" t="s">
        <v>192</v>
      </c>
      <c r="F27" s="33" t="s">
        <v>193</v>
      </c>
    </row>
    <row r="29" customFormat="false" ht="15" hidden="false" customHeight="false" outlineLevel="0" collapsed="false">
      <c r="A29" s="3" t="s">
        <v>194</v>
      </c>
      <c r="B29" s="3"/>
      <c r="C29" s="3"/>
      <c r="D29" s="3"/>
      <c r="E29" s="3"/>
      <c r="F29" s="3"/>
      <c r="G29" s="3"/>
    </row>
    <row r="30" customFormat="false" ht="23.85" hidden="false" customHeight="false" outlineLevel="0" collapsed="false">
      <c r="A30" s="34" t="s">
        <v>195</v>
      </c>
      <c r="B30" s="35" t="s">
        <v>196</v>
      </c>
      <c r="C30" s="35" t="s">
        <v>197</v>
      </c>
    </row>
    <row r="31" customFormat="false" ht="23.85" hidden="false" customHeight="false" outlineLevel="0" collapsed="false">
      <c r="A31" s="34" t="s">
        <v>198</v>
      </c>
      <c r="B31" s="35" t="s">
        <v>199</v>
      </c>
      <c r="C31" s="35" t="s">
        <v>200</v>
      </c>
    </row>
    <row r="32" customFormat="false" ht="15" hidden="false" customHeight="false" outlineLevel="0" collapsed="false">
      <c r="A32" s="34" t="s">
        <v>201</v>
      </c>
      <c r="B32" s="35" t="s">
        <v>202</v>
      </c>
      <c r="C32" s="35" t="s">
        <v>203</v>
      </c>
    </row>
    <row r="33" customFormat="false" ht="15" hidden="false" customHeight="false" outlineLevel="0" collapsed="false">
      <c r="A33" s="34" t="s">
        <v>204</v>
      </c>
      <c r="B33" s="35" t="s">
        <v>205</v>
      </c>
      <c r="C33" s="35" t="s">
        <v>206</v>
      </c>
    </row>
    <row r="34" customFormat="false" ht="23.85" hidden="false" customHeight="false" outlineLevel="0" collapsed="false">
      <c r="A34" s="34" t="s">
        <v>207</v>
      </c>
      <c r="B34" s="35" t="s">
        <v>208</v>
      </c>
      <c r="C34" s="35" t="s">
        <v>209</v>
      </c>
    </row>
    <row r="35" customFormat="false" ht="23.85" hidden="false" customHeight="false" outlineLevel="0" collapsed="false">
      <c r="A35" s="34" t="s">
        <v>210</v>
      </c>
      <c r="B35" s="35" t="s">
        <v>211</v>
      </c>
      <c r="C35" s="35" t="s">
        <v>212</v>
      </c>
    </row>
    <row r="36" customFormat="false" ht="35.05" hidden="false" customHeight="false" outlineLevel="0" collapsed="false">
      <c r="A36" s="34" t="s">
        <v>213</v>
      </c>
      <c r="B36" s="35" t="s">
        <v>214</v>
      </c>
      <c r="C36" s="35" t="s">
        <v>215</v>
      </c>
    </row>
    <row r="37" customFormat="false" ht="23.85" hidden="false" customHeight="false" outlineLevel="0" collapsed="false">
      <c r="A37" s="34" t="s">
        <v>216</v>
      </c>
      <c r="B37" s="35" t="s">
        <v>217</v>
      </c>
      <c r="C37" s="35" t="s">
        <v>218</v>
      </c>
    </row>
    <row r="38" customFormat="false" ht="15" hidden="false" customHeight="false" outlineLevel="0" collapsed="false">
      <c r="A38" s="34" t="s">
        <v>219</v>
      </c>
      <c r="B38" s="35" t="s">
        <v>220</v>
      </c>
      <c r="C38" s="35" t="s">
        <v>221</v>
      </c>
    </row>
    <row r="40" customFormat="false" ht="15" hidden="false" customHeight="false" outlineLevel="0" collapsed="false">
      <c r="A40" s="3" t="s">
        <v>222</v>
      </c>
      <c r="B40" s="3"/>
      <c r="C40" s="3"/>
      <c r="D40" s="3"/>
      <c r="E40" s="3"/>
      <c r="F40" s="3"/>
      <c r="G40" s="3"/>
    </row>
    <row r="41" customFormat="false" ht="23.85" hidden="false" customHeight="false" outlineLevel="0" collapsed="false">
      <c r="A41" s="4" t="s">
        <v>223</v>
      </c>
      <c r="B41" s="4" t="s">
        <v>224</v>
      </c>
      <c r="C41" s="4" t="s">
        <v>225</v>
      </c>
      <c r="D41" s="4" t="s">
        <v>226</v>
      </c>
      <c r="E41" s="4" t="s">
        <v>227</v>
      </c>
      <c r="F41" s="4" t="s">
        <v>228</v>
      </c>
      <c r="G41" s="4" t="s">
        <v>229</v>
      </c>
    </row>
    <row r="42" customFormat="false" ht="15" hidden="false" customHeight="false" outlineLevel="0" collapsed="false">
      <c r="A42" s="36" t="s">
        <v>230</v>
      </c>
      <c r="B42" s="37" t="n">
        <v>3000</v>
      </c>
      <c r="C42" s="36" t="n">
        <f aca="false">B42*30</f>
        <v>90000</v>
      </c>
      <c r="D42" s="37" t="n">
        <v>500</v>
      </c>
      <c r="E42" s="36" t="n">
        <f aca="false">C42/D42</f>
        <v>180</v>
      </c>
      <c r="F42" s="36" t="n">
        <f aca="false">E42*0.15</f>
        <v>27</v>
      </c>
      <c r="G42" s="36" t="n">
        <f aca="false">E42*0.03</f>
        <v>5.4</v>
      </c>
    </row>
    <row r="43" customFormat="false" ht="15" hidden="false" customHeight="false" outlineLevel="0" collapsed="false">
      <c r="A43" s="38" t="s">
        <v>231</v>
      </c>
      <c r="B43" s="39" t="n">
        <v>5000</v>
      </c>
      <c r="C43" s="38" t="n">
        <f aca="false">B43*30</f>
        <v>150000</v>
      </c>
      <c r="D43" s="39" t="n">
        <v>400</v>
      </c>
      <c r="E43" s="38" t="n">
        <f aca="false">C43/D43</f>
        <v>375</v>
      </c>
      <c r="F43" s="38" t="n">
        <f aca="false">E43*0.15</f>
        <v>56.25</v>
      </c>
      <c r="G43" s="38" t="n">
        <f aca="false">E43*0.03</f>
        <v>11.25</v>
      </c>
    </row>
    <row r="44" customFormat="false" ht="15" hidden="false" customHeight="false" outlineLevel="0" collapsed="false">
      <c r="A44" s="36" t="s">
        <v>232</v>
      </c>
      <c r="B44" s="37" t="n">
        <v>8000</v>
      </c>
      <c r="C44" s="36" t="n">
        <f aca="false">B44*30</f>
        <v>240000</v>
      </c>
      <c r="D44" s="37" t="n">
        <v>350</v>
      </c>
      <c r="E44" s="36" t="n">
        <f aca="false">C44/D44</f>
        <v>685.714285714286</v>
      </c>
      <c r="F44" s="36" t="n">
        <f aca="false">E44*0.15</f>
        <v>102.857142857143</v>
      </c>
      <c r="G44" s="36" t="n">
        <f aca="false">E44*0.03</f>
        <v>20.5714285714286</v>
      </c>
    </row>
  </sheetData>
  <mergeCells count="7">
    <mergeCell ref="A1:G1"/>
    <mergeCell ref="A2:G2"/>
    <mergeCell ref="A4:G4"/>
    <mergeCell ref="A14:G14"/>
    <mergeCell ref="A21:G21"/>
    <mergeCell ref="A29:G29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4" min="3" style="0" width="25"/>
  </cols>
  <sheetData>
    <row r="1" customFormat="false" ht="19.7" hidden="false" customHeight="false" outlineLevel="0" collapsed="false">
      <c r="A1" s="22" t="s">
        <v>233</v>
      </c>
      <c r="B1" s="22"/>
      <c r="C1" s="22"/>
      <c r="D1" s="22"/>
    </row>
    <row r="3" customFormat="false" ht="15" hidden="false" customHeight="false" outlineLevel="0" collapsed="false">
      <c r="A3" s="3" t="s">
        <v>234</v>
      </c>
      <c r="B3" s="3"/>
      <c r="C3" s="3"/>
      <c r="D3" s="3"/>
    </row>
    <row r="4" customFormat="false" ht="34.5" hidden="false" customHeight="true" outlineLevel="0" collapsed="false">
      <c r="A4" s="5" t="s">
        <v>235</v>
      </c>
      <c r="B4" s="40" t="s">
        <v>236</v>
      </c>
      <c r="C4" s="40"/>
      <c r="D4" s="40"/>
    </row>
    <row r="5" customFormat="false" ht="34.5" hidden="false" customHeight="true" outlineLevel="0" collapsed="false">
      <c r="A5" s="5" t="s">
        <v>237</v>
      </c>
      <c r="B5" s="40" t="s">
        <v>238</v>
      </c>
      <c r="C5" s="40"/>
      <c r="D5" s="40"/>
    </row>
    <row r="6" customFormat="false" ht="34.5" hidden="false" customHeight="true" outlineLevel="0" collapsed="false">
      <c r="A6" s="5" t="s">
        <v>239</v>
      </c>
      <c r="B6" s="40" t="s">
        <v>240</v>
      </c>
      <c r="C6" s="40"/>
      <c r="D6" s="40"/>
    </row>
    <row r="7" customFormat="false" ht="34.5" hidden="false" customHeight="true" outlineLevel="0" collapsed="false">
      <c r="A7" s="5" t="s">
        <v>241</v>
      </c>
      <c r="B7" s="40" t="s">
        <v>242</v>
      </c>
      <c r="C7" s="40"/>
      <c r="D7" s="40"/>
    </row>
    <row r="9" customFormat="false" ht="15" hidden="false" customHeight="false" outlineLevel="0" collapsed="false">
      <c r="A9" s="3" t="s">
        <v>243</v>
      </c>
      <c r="B9" s="3"/>
      <c r="C9" s="3"/>
      <c r="D9" s="3"/>
    </row>
    <row r="10" customFormat="false" ht="34.5" hidden="false" customHeight="true" outlineLevel="0" collapsed="false">
      <c r="A10" s="5" t="s">
        <v>244</v>
      </c>
      <c r="B10" s="40" t="s">
        <v>245</v>
      </c>
      <c r="C10" s="40"/>
      <c r="D10" s="40"/>
    </row>
    <row r="11" customFormat="false" ht="34.5" hidden="false" customHeight="true" outlineLevel="0" collapsed="false">
      <c r="A11" s="5" t="s">
        <v>246</v>
      </c>
      <c r="B11" s="40" t="s">
        <v>247</v>
      </c>
      <c r="C11" s="40"/>
      <c r="D11" s="40"/>
    </row>
    <row r="12" customFormat="false" ht="34.5" hidden="false" customHeight="true" outlineLevel="0" collapsed="false">
      <c r="A12" s="5" t="s">
        <v>248</v>
      </c>
      <c r="B12" s="40" t="s">
        <v>249</v>
      </c>
      <c r="C12" s="40"/>
      <c r="D12" s="40"/>
    </row>
    <row r="13" customFormat="false" ht="34.5" hidden="false" customHeight="true" outlineLevel="0" collapsed="false">
      <c r="A13" s="5" t="s">
        <v>250</v>
      </c>
      <c r="B13" s="40" t="s">
        <v>251</v>
      </c>
      <c r="C13" s="40"/>
      <c r="D13" s="40"/>
    </row>
    <row r="15" customFormat="false" ht="15" hidden="false" customHeight="false" outlineLevel="0" collapsed="false">
      <c r="A15" s="3" t="s">
        <v>252</v>
      </c>
      <c r="B15" s="3"/>
      <c r="C15" s="3"/>
      <c r="D15" s="3"/>
    </row>
    <row r="16" customFormat="false" ht="34.5" hidden="false" customHeight="true" outlineLevel="0" collapsed="false">
      <c r="A16" s="5" t="s">
        <v>253</v>
      </c>
      <c r="B16" s="40" t="s">
        <v>254</v>
      </c>
      <c r="C16" s="40"/>
      <c r="D16" s="40"/>
    </row>
    <row r="17" customFormat="false" ht="34.5" hidden="false" customHeight="true" outlineLevel="0" collapsed="false">
      <c r="A17" s="5" t="s">
        <v>255</v>
      </c>
      <c r="B17" s="40" t="s">
        <v>256</v>
      </c>
      <c r="C17" s="40"/>
      <c r="D17" s="40"/>
    </row>
    <row r="18" customFormat="false" ht="34.5" hidden="false" customHeight="true" outlineLevel="0" collapsed="false">
      <c r="A18" s="5" t="s">
        <v>257</v>
      </c>
      <c r="B18" s="40" t="s">
        <v>258</v>
      </c>
      <c r="C18" s="40"/>
      <c r="D18" s="40"/>
    </row>
    <row r="19" customFormat="false" ht="34.5" hidden="false" customHeight="true" outlineLevel="0" collapsed="false">
      <c r="A19" s="5" t="s">
        <v>259</v>
      </c>
      <c r="B19" s="40" t="s">
        <v>260</v>
      </c>
      <c r="C19" s="40"/>
      <c r="D19" s="40"/>
    </row>
    <row r="21" customFormat="false" ht="15" hidden="false" customHeight="false" outlineLevel="0" collapsed="false">
      <c r="A21" s="3" t="s">
        <v>261</v>
      </c>
      <c r="B21" s="3"/>
      <c r="C21" s="3"/>
      <c r="D21" s="3"/>
    </row>
    <row r="22" customFormat="false" ht="34.5" hidden="false" customHeight="true" outlineLevel="0" collapsed="false">
      <c r="A22" s="5" t="s">
        <v>262</v>
      </c>
      <c r="B22" s="40" t="s">
        <v>263</v>
      </c>
      <c r="C22" s="40"/>
      <c r="D22" s="40"/>
    </row>
    <row r="23" customFormat="false" ht="34.5" hidden="false" customHeight="true" outlineLevel="0" collapsed="false">
      <c r="A23" s="5" t="s">
        <v>264</v>
      </c>
      <c r="B23" s="40" t="s">
        <v>265</v>
      </c>
      <c r="C23" s="40"/>
      <c r="D23" s="40"/>
    </row>
    <row r="24" customFormat="false" ht="34.5" hidden="false" customHeight="true" outlineLevel="0" collapsed="false">
      <c r="A24" s="5" t="s">
        <v>266</v>
      </c>
      <c r="B24" s="40" t="s">
        <v>267</v>
      </c>
      <c r="C24" s="40"/>
      <c r="D24" s="40"/>
    </row>
    <row r="25" customFormat="false" ht="34.5" hidden="false" customHeight="true" outlineLevel="0" collapsed="false">
      <c r="A25" s="5" t="s">
        <v>268</v>
      </c>
      <c r="B25" s="40" t="s">
        <v>269</v>
      </c>
      <c r="C25" s="40"/>
      <c r="D25" s="40"/>
    </row>
  </sheetData>
  <mergeCells count="21">
    <mergeCell ref="A1:D1"/>
    <mergeCell ref="A3:D3"/>
    <mergeCell ref="B4:D4"/>
    <mergeCell ref="B5:D5"/>
    <mergeCell ref="B6:D6"/>
    <mergeCell ref="B7:D7"/>
    <mergeCell ref="A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A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2026-03-26T17:08:48Z</dcterms:created>
  <dc:creator>openpyxl</dc:creator>
  <dc:description/>
  <dc:language>en-US</dc:language>
  <cp:lastModifiedBy/>
  <dcterms:modified xsi:type="dcterms:W3CDTF">2026-03-26T17:08:48Z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