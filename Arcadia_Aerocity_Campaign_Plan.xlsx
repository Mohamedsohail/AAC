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Brief" sheetId="1" state="visible" r:id="rId3"/>
    <sheet name="Campaign Structure" sheetId="2" state="visible" r:id="rId4"/>
    <sheet name="Video Ad Matrix" sheetId="3" state="visible" r:id="rId5"/>
    <sheet name="Lead Form Design" sheetId="4" state="visible" r:id="rId6"/>
    <sheet name="Budget &amp; Projections" sheetId="5" state="visible" r:id="rId7"/>
    <sheet name="Daily Monitor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<sst xmlns="http://schemas.openxmlformats.org/spreadsheetml/2006/main" count="435" uniqueCount="396">
  <si>
    <t xml:space="preserve">ARCADIA AEROCITY — PROPSHELL | META ADS CAMPAIGN MASTER PLAN</t>
  </si>
  <si>
    <t xml:space="preserve">Prepared by Performance Marketing Specialist | March 26, 2026 | Landing Page: arcadiaaerocity.propshell.com</t>
  </si>
  <si>
    <t xml:space="preserve">PROJECT DETAILS — ARCADIA AEROCITY PHASE 2</t>
  </si>
  <si>
    <t xml:space="preserve">Developer</t>
  </si>
  <si>
    <t xml:space="preserve">Propshell (19 years in Real Estate)</t>
  </si>
  <si>
    <t xml:space="preserve">Project Name</t>
  </si>
  <si>
    <t xml:space="preserve">Arcadia Aerocity Phase 2 — Premium Villa Plots</t>
  </si>
  <si>
    <t xml:space="preserve">Location</t>
  </si>
  <si>
    <t xml:space="preserve">Maha Periyavar Nagar, Kanchipuram (near Chennai-Bangalore NH)</t>
  </si>
  <si>
    <t xml:space="preserve">Total Area</t>
  </si>
  <si>
    <t xml:space="preserve">180 Acres Township — Biggest in the region</t>
  </si>
  <si>
    <t xml:space="preserve">Plot Size</t>
  </si>
  <si>
    <t xml:space="preserve">Starting from 2,200 sq.ft</t>
  </si>
  <si>
    <t xml:space="preserve">Price</t>
  </si>
  <si>
    <t xml:space="preserve">Starting from ₹13 Lakhs (₹2,200/sq.ft approx)</t>
  </si>
  <si>
    <t xml:space="preserve">Approvals</t>
  </si>
  <si>
    <t xml:space="preserve">DTCP &amp; RERA Approved — 90% Loan Arrangements available</t>
  </si>
  <si>
    <t xml:space="preserve">Project Type</t>
  </si>
  <si>
    <t xml:space="preserve">Gated Community Villa Plots — Residential</t>
  </si>
  <si>
    <t xml:space="preserve">Nearby Landmarks</t>
  </si>
  <si>
    <t xml:space="preserve">Kanchi Kamachi Amman Kovil (10 min), Chennai-Bangalore NH, Greenfield Parandur Airport</t>
  </si>
  <si>
    <t xml:space="preserve">Key USP</t>
  </si>
  <si>
    <t xml:space="preserve">Near Chennai's upcoming 2nd International Airport (Parandur Greenfield)</t>
  </si>
  <si>
    <t xml:space="preserve">Amenities</t>
  </si>
  <si>
    <t xml:space="preserve">Schools, Hospitals, Club House, Lemon Tree Hotel, Cricket/Football/Pickleball Turf, Tennis, Park, Jogging Track, Community Hall, Grand Entry Arch, EB + Groundwater</t>
  </si>
  <si>
    <t xml:space="preserve">Special Offer</t>
  </si>
  <si>
    <t xml:space="preserve">"Nethi Adi Offer" — Book a plot &amp; get 100 sq.ft land FREE</t>
  </si>
  <si>
    <t xml:space="preserve">Landing Page</t>
  </si>
  <si>
    <t xml:space="preserve">https://arcadiaaerocity.propshell.com/</t>
  </si>
  <si>
    <t xml:space="preserve">Website</t>
  </si>
  <si>
    <t xml:space="preserve">https://propshell.com/arcadia-aerocity</t>
  </si>
  <si>
    <t xml:space="preserve">Target CPL</t>
  </si>
  <si>
    <t xml:space="preserve">₹350 INR (optimized from current ₹983)</t>
  </si>
  <si>
    <t xml:space="preserve">CURRENT PERFORMANCE SNAPSHOT (Last 7 Days) — PROBLEMS IDENTIFIED</t>
  </si>
  <si>
    <t xml:space="preserve">Metric</t>
  </si>
  <si>
    <t xml:space="preserve">Campaign 12</t>
  </si>
  <si>
    <t xml:space="preserve">Andromeda</t>
  </si>
  <si>
    <t xml:space="preserve">Total</t>
  </si>
  <si>
    <t xml:space="preserve">Target</t>
  </si>
  <si>
    <t xml:space="preserve">Status</t>
  </si>
  <si>
    <t xml:space="preserve">Gap</t>
  </si>
  <si>
    <t xml:space="preserve">Priority Fix</t>
  </si>
  <si>
    <t xml:space="preserve">Spend (INR)</t>
  </si>
  <si>
    <t xml:space="preserve">25000-35000</t>
  </si>
  <si>
    <t xml:space="preserve">OK</t>
  </si>
  <si>
    <t xml:space="preserve">Within range</t>
  </si>
  <si>
    <t xml:space="preserve">Reallocate to winners</t>
  </si>
  <si>
    <t xml:space="preserve">Leads</t>
  </si>
  <si>
    <t xml:space="preserve">70+</t>
  </si>
  <si>
    <t xml:space="preserve">CRITICAL</t>
  </si>
  <si>
    <t xml:space="preserve">36 vs 70 target</t>
  </si>
  <si>
    <t xml:space="preserve">CPL too high, wasting budget on zero-lead ads</t>
  </si>
  <si>
    <t xml:space="preserve">CPL (INR)</t>
  </si>
  <si>
    <t xml:space="preserve">&lt;350</t>
  </si>
  <si>
    <t xml:space="preserve">₹983 vs ₹350</t>
  </si>
  <si>
    <t xml:space="preserve">Pause bad ads, scale winners, new creatives</t>
  </si>
  <si>
    <t xml:space="preserve">CTR %</t>
  </si>
  <si>
    <t xml:space="preserve">&gt;1.5%</t>
  </si>
  <si>
    <t xml:space="preserve">LOW</t>
  </si>
  <si>
    <t xml:space="preserve">0.78% vs 1.5%</t>
  </si>
  <si>
    <t xml:space="preserve">Creative fatigue — deploy 5 new video scripts</t>
  </si>
  <si>
    <t xml:space="preserve">CPC (INR)</t>
  </si>
  <si>
    <t xml:space="preserve">&lt;15</t>
  </si>
  <si>
    <t xml:space="preserve">HIGH</t>
  </si>
  <si>
    <t xml:space="preserve">₹23 vs ₹15</t>
  </si>
  <si>
    <t xml:space="preserve">Audience too narrow, expand targeting</t>
  </si>
  <si>
    <t xml:space="preserve">Frequency</t>
  </si>
  <si>
    <t xml:space="preserve">&lt;2.5</t>
  </si>
  <si>
    <t xml:space="preserve">Acceptable</t>
  </si>
  <si>
    <t xml:space="preserve">Monitor weekly</t>
  </si>
  <si>
    <t xml:space="preserve">ARCADIA AEROCITY — NEW CAMPAIGN ARCHITECTURE</t>
  </si>
  <si>
    <t xml:space="preserve">Objective: Lead Generation | Target CPL: ₹350 | Focus: Quality Leads → Site Visits → Bookings</t>
  </si>
  <si>
    <t xml:space="preserve">CAMPAIGN LEVEL SETTINGS</t>
  </si>
  <si>
    <t xml:space="preserve">Setting</t>
  </si>
  <si>
    <t xml:space="preserve">Value</t>
  </si>
  <si>
    <t xml:space="preserve">Why This Setting</t>
  </si>
  <si>
    <t xml:space="preserve">Campaign Name</t>
  </si>
  <si>
    <t xml:space="preserve">Arcadia Aerocity P2 — Lead Gen — Advantage+ — Mar 2026</t>
  </si>
  <si>
    <t xml:space="preserve">Fresh campaign, clean learning phase</t>
  </si>
  <si>
    <t xml:space="preserve">Objective</t>
  </si>
  <si>
    <t xml:space="preserve">Leads (Instant Forms + WhatsApp)</t>
  </si>
  <si>
    <t xml:space="preserve">WhatsApp leads typically 40% higher quality in India real estate</t>
  </si>
  <si>
    <t xml:space="preserve">Budget Strategy</t>
  </si>
  <si>
    <t xml:space="preserve">Advantage Campaign Budget (CBO) — ₹6,000/day</t>
  </si>
  <si>
    <t xml:space="preserve">Meta auto-optimizes spend across best adsets</t>
  </si>
  <si>
    <t xml:space="preserve">Bid Strategy</t>
  </si>
  <si>
    <t xml:space="preserve">Cost Cap at ₹350/lead</t>
  </si>
  <si>
    <t xml:space="preserve">Hard cap prevents CPL from exceeding target</t>
  </si>
  <si>
    <t xml:space="preserve">Attribution</t>
  </si>
  <si>
    <t xml:space="preserve">7-day click, 1-day view</t>
  </si>
  <si>
    <t xml:space="preserve">Standard for lead gen campaigns</t>
  </si>
  <si>
    <t xml:space="preserve">Placements</t>
  </si>
  <si>
    <t xml:space="preserve">Advantage+ (All placements)</t>
  </si>
  <si>
    <t xml:space="preserve">Let Meta find cheapest leads across FB, IG, Reels, Stories, AN</t>
  </si>
  <si>
    <t xml:space="preserve">Conversion Location</t>
  </si>
  <si>
    <t xml:space="preserve">Instant Forms + WhatsApp (split test)</t>
  </si>
  <si>
    <t xml:space="preserve">Test both — WhatsApp often outperforms for real estate in Tamil Nadu</t>
  </si>
  <si>
    <t xml:space="preserve">Special Ad Category</t>
  </si>
  <si>
    <t xml:space="preserve">None (Real Estate not restricted in India)</t>
  </si>
  <si>
    <t xml:space="preserve">No housing category restriction needed</t>
  </si>
  <si>
    <t xml:space="preserve">Pixel/Events</t>
  </si>
  <si>
    <t xml:space="preserve">Meta Pixel on arcadiaaerocity.propshell.com — track Lead, ViewContent</t>
  </si>
  <si>
    <t xml:space="preserve">Essential for retargeting and optimization</t>
  </si>
  <si>
    <t xml:space="preserve">ADSET STRUCTURE — 5 ADSETS (Mapped to Video Scripts)</t>
  </si>
  <si>
    <t xml:space="preserve">Adset #</t>
  </si>
  <si>
    <t xml:space="preserve">Adset Name</t>
  </si>
  <si>
    <t xml:space="preserve">Targeting</t>
  </si>
  <si>
    <t xml:space="preserve">Age</t>
  </si>
  <si>
    <t xml:space="preserve">Video Script</t>
  </si>
  <si>
    <t xml:space="preserve">Budget %</t>
  </si>
  <si>
    <t xml:space="preserve">Why This Audience</t>
  </si>
  <si>
    <t xml:space="preserve">Expected CPL</t>
  </si>
  <si>
    <t xml:space="preserve">Adset 1</t>
  </si>
  <si>
    <t xml:space="preserve">Chennai Low Budget Buyers</t>
  </si>
  <si>
    <t xml:space="preserve">Location: Chennai + 30km
Interests: Affordable Housing, Plots for Sale, Home Loans, First-Time Buyers
Income: Average</t>
  </si>
  <si>
    <t xml:space="preserve">25-45</t>
  </si>
  <si>
    <t xml:space="preserve">Script 01
(Low Budget &amp; Chennai)</t>
  </si>
  <si>
    <t xml:space="preserve">25%</t>
  </si>
  <si>
    <t xml:space="preserve">Your video script directly speaks to budget-conscious Chennai buyers. Largest audience pool.</t>
  </si>
  <si>
    <t xml:space="preserve">₹300-400</t>
  </si>
  <si>
    <t xml:space="preserve">Adset 2</t>
  </si>
  <si>
    <t xml:space="preserve">Kanchipuram Spiritual + Local</t>
  </si>
  <si>
    <t xml:space="preserve">Location: Kanchipuram + 20km, Sriperumbudur + 15km
Interests: Temple visits, Hindu Temples, Kanchi Kamachi, Spiritual Tourism, Land Purchase</t>
  </si>
  <si>
    <t xml:space="preserve">28-55</t>
  </si>
  <si>
    <t xml:space="preserve">Script 02
(Kanchipuram Spiritual)</t>
  </si>
  <si>
    <t xml:space="preserve">20%</t>
  </si>
  <si>
    <t xml:space="preserve">Taps into emotional connection with Kanchipuram temples. Local buyers = highest intent.</t>
  </si>
  <si>
    <t xml:space="preserve">₹250-350</t>
  </si>
  <si>
    <t xml:space="preserve">Adset 3</t>
  </si>
  <si>
    <t xml:space="preserve">Investors &amp; NRI</t>
  </si>
  <si>
    <t xml:space="preserve">Location: Chennai Metro + Tamil Nadu (NRI overlay)
Interests: Real Estate Investment, Property Investment, NRI Investment, Mutual Funds, Stock Market
Behaviors: Frequent International Travelers</t>
  </si>
  <si>
    <t xml:space="preserve">30-55</t>
  </si>
  <si>
    <t xml:space="preserve">Script 03
(Plot Overview &amp; Investment)</t>
  </si>
  <si>
    <t xml:space="preserve">Investment angle video for wealth-focused audience. Higher ticket, higher quality leads.</t>
  </si>
  <si>
    <t xml:space="preserve">₹400-500</t>
  </si>
  <si>
    <t xml:space="preserve">Adset 4</t>
  </si>
  <si>
    <t xml:space="preserve">Offer Seekers &amp; Deal Hunters</t>
  </si>
  <si>
    <t xml:space="preserve">Location: Chennai + 40km (broad)
Interests: Real Estate Deals, Property Offers, Festival Sales, Discount Shopping
Behaviors: Engaged Shoppers</t>
  </si>
  <si>
    <t xml:space="preserve">25-50</t>
  </si>
  <si>
    <t xml:space="preserve">Script 04
(Nethi Adi Offer)</t>
  </si>
  <si>
    <t xml:space="preserve">"100 sq.ft FREE" offer creates urgency. This ad will drive highest volume.</t>
  </si>
  <si>
    <t xml:space="preserve">Adset 5</t>
  </si>
  <si>
    <t xml:space="preserve">Lookalike — Best Past Leads</t>
  </si>
  <si>
    <t xml:space="preserve">Source: 1% LAL of existing AAC leads (top 36 leads from current campaigns)
Location: Tamil Nadu</t>
  </si>
  <si>
    <t xml:space="preserve">25-55</t>
  </si>
  <si>
    <t xml:space="preserve">Script 03 + 01
(Mixed top performers)</t>
  </si>
  <si>
    <t xml:space="preserve">15%</t>
  </si>
  <si>
    <t xml:space="preserve">Data-driven: finds people similar to your actual converted leads. Lowest CPL potential.</t>
  </si>
  <si>
    <t xml:space="preserve">₹200-300</t>
  </si>
  <si>
    <t xml:space="preserve">VIDEO CREATIVE MATRIX — 5 Scripts × Ad Configurations</t>
  </si>
  <si>
    <t xml:space="preserve">Each script maps to specific audiences. Below is the complete ad configuration for each video.</t>
  </si>
  <si>
    <t xml:space="preserve">VIDEO SCRIPT → AD MAPPING</t>
  </si>
  <si>
    <t xml:space="preserve">Video</t>
  </si>
  <si>
    <t xml:space="preserve">Target Adset</t>
  </si>
  <si>
    <t xml:space="preserve">Ad Format</t>
  </si>
  <si>
    <t xml:space="preserve">Headline (Tamil)</t>
  </si>
  <si>
    <t xml:space="preserve">Headline (English)</t>
  </si>
  <si>
    <t xml:space="preserve">Primary Text</t>
  </si>
  <si>
    <t xml:space="preserve">CTA Button</t>
  </si>
  <si>
    <t xml:space="preserve">Key Hook (First 3 sec)</t>
  </si>
  <si>
    <t xml:space="preserve">Script 01
Low Budget</t>
  </si>
  <si>
    <t xml:space="preserve">Adset 1:
Chennai Low Budget</t>
  </si>
  <si>
    <t xml:space="preserve">Video Ad
(30-60 sec)</t>
  </si>
  <si>
    <t xml:space="preserve">வெறும் 13 லட்சத்தில் சொந்த மனை!
Chennai பக்கத்தில்</t>
  </si>
  <si>
    <t xml:space="preserve">Own Land from ₹13 Lakhs!
Near Chennai Airport</t>
  </si>
  <si>
    <t xml:space="preserve">180 ஏக்கர் township | DTCP &amp; RERA | Schools, Hospitals, Club House | Free Site Visit
Chennai's #1 Affordable Plot — Arcadia Aerocity</t>
  </si>
  <si>
    <t xml:space="preserve">Book Now
(Instant Form)</t>
  </si>
  <si>
    <t xml:space="preserve">arcadiaaerocity.propshell.com</t>
  </si>
  <si>
    <t xml:space="preserve">"Budget problem-aa? Just 13 lakhs-la sondha land!" — Price shock in first 3 sec</t>
  </si>
  <si>
    <t xml:space="preserve">Script 02
Spiritual</t>
  </si>
  <si>
    <t xml:space="preserve">Adset 2:
Kanchipuram Local</t>
  </si>
  <si>
    <t xml:space="preserve">காஞ்சி காமாட்சி அருகில்
DTCP Plot ₹2,200/sq.ft</t>
  </si>
  <si>
    <t xml:space="preserve">Near Kanchi Kamachi Temple
DTCP Plot from ₹2,200/sq.ft</t>
  </si>
  <si>
    <t xml:space="preserve">புனித பூமியில் சொந்த மனை | RERA Approved | 90% Loan | Greenfield Airport nearby
Propshell's Arcadia Aerocity Phase 2</t>
  </si>
  <si>
    <t xml:space="preserve">Get Directions
(WhatsApp)</t>
  </si>
  <si>
    <t xml:space="preserve">"Kanchipuram = Temples + Now Premium Plots!" — Emotional spiritual connect first</t>
  </si>
  <si>
    <t xml:space="preserve">Script 03
Investment</t>
  </si>
  <si>
    <t xml:space="preserve">Adset 3:
Investors &amp; NRI</t>
  </si>
  <si>
    <t xml:space="preserve">Video Ad
(30-60 sec)
360° Tour</t>
  </si>
  <si>
    <t xml:space="preserve">Airport வரப்போகுது!
Land Value 3x ஆகும்</t>
  </si>
  <si>
    <t xml:space="preserve">Airport Coming!
Land Value Set to 3x</t>
  </si>
  <si>
    <t xml:space="preserve">180-acre Gated Community | Cricket, Football, Pickleball Turf | Grand Entry | EB + Water
Investment-grade villa plots | DTCP &amp; RERA</t>
  </si>
  <si>
    <t xml:space="preserve">Learn More
(Instant Form)</t>
  </si>
  <si>
    <t xml:space="preserve">"Trust me, intha site ungaluku romba pudikkum" — Personal trust-building hook</t>
  </si>
  <si>
    <t xml:space="preserve">Script 04
Offer</t>
  </si>
  <si>
    <t xml:space="preserve">Adset 4:
Deal Hunters</t>
  </si>
  <si>
    <t xml:space="preserve">Video Ad
(15-30 sec)
Reels Format</t>
  </si>
  <si>
    <t xml:space="preserve">100 sq.ft Land FREE!
நேத்தி அடி Offer</t>
  </si>
  <si>
    <t xml:space="preserve">100 sq.ft Land FREE!
Nethi Adi Offer</t>
  </si>
  <si>
    <t xml:space="preserve">Book a plot → Get 100 sq.ft FREE! | 180 Acres | 100+ Amenities | Hotel, Turf, Club
Limited slots — Offer ending soon!</t>
  </si>
  <si>
    <t xml:space="preserve">Claim Offer
(Instant Form)</t>
  </si>
  <si>
    <t xml:space="preserve">"Kocham kitta vaagaley — 100 sq.ft FREE!" — Freebie hook, instant attention</t>
  </si>
  <si>
    <t xml:space="preserve">Script 05
(Testimonial)
Create New</t>
  </si>
  <si>
    <t xml:space="preserve">Adset 5:
Lookalike</t>
  </si>
  <si>
    <t xml:space="preserve">Video Ad
(15-30 sec)
UGC Style</t>
  </si>
  <si>
    <t xml:space="preserve">நான் Plot வாங்கிட்டேன்!
You Should Too</t>
  </si>
  <si>
    <t xml:space="preserve">I Booked My Plot!
Here's Why You Should Too</t>
  </si>
  <si>
    <t xml:space="preserve">Real buyer testimonial + site visit footage | "Best decision I made" angle
180 Acres | ₹13L Starting | DTCP &amp; RERA</t>
  </si>
  <si>
    <t xml:space="preserve">Book Now
(WhatsApp)</t>
  </si>
  <si>
    <t xml:space="preserve">Real person face + "Naan book pannitein!" — Social proof hook</t>
  </si>
  <si>
    <t xml:space="preserve">ADDITIONAL AD VARIANTS PER ADSET (A/B Test Plan)</t>
  </si>
  <si>
    <t xml:space="preserve">Adset</t>
  </si>
  <si>
    <t xml:space="preserve">Variant A (Primary)</t>
  </si>
  <si>
    <t xml:space="preserve">Variant B</t>
  </si>
  <si>
    <t xml:space="preserve">Variant C</t>
  </si>
  <si>
    <t xml:space="preserve">Test Variable</t>
  </si>
  <si>
    <t xml:space="preserve">Success Metric</t>
  </si>
  <si>
    <t xml:space="preserve">Decision Day</t>
  </si>
  <si>
    <t xml:space="preserve">Kill Threshold</t>
  </si>
  <si>
    <t xml:space="preserve">Scale Threshold</t>
  </si>
  <si>
    <t xml:space="preserve">Script 01 Video + Instant Form</t>
  </si>
  <si>
    <t xml:space="preserve">Script 01 Video + WhatsApp CTA</t>
  </si>
  <si>
    <t xml:space="preserve">Script 01 as Carousel (stills from video)</t>
  </si>
  <si>
    <t xml:space="preserve">CPL + Lead Quality</t>
  </si>
  <si>
    <t xml:space="preserve">Day 5</t>
  </si>
  <si>
    <t xml:space="preserve">CPL &gt; ₹600 after ₹1,500 spend</t>
  </si>
  <si>
    <t xml:space="preserve">CPL &lt; ₹350 + 3+ leads</t>
  </si>
  <si>
    <t xml:space="preserve">Script 02 Video + WhatsApp</t>
  </si>
  <si>
    <t xml:space="preserve">Script 02 Video + Instant Form</t>
  </si>
  <si>
    <t xml:space="preserve">Static Image: Temple + Plot layout</t>
  </si>
  <si>
    <t xml:space="preserve">Creative Format</t>
  </si>
  <si>
    <t xml:space="preserve">CPL + Site Visit Rate</t>
  </si>
  <si>
    <t xml:space="preserve">CPL &lt; ₹350 + 2+ leads</t>
  </si>
  <si>
    <t xml:space="preserve">Script 03 Video (360° Tour)</t>
  </si>
  <si>
    <t xml:space="preserve">Script 03 as Slideshow</t>
  </si>
  <si>
    <t xml:space="preserve">Carousel: 5 amenity shots + price</t>
  </si>
  <si>
    <t xml:space="preserve">Creative Depth</t>
  </si>
  <si>
    <t xml:space="preserve">CPL + Lead Quality Score</t>
  </si>
  <si>
    <t xml:space="preserve">Day 7</t>
  </si>
  <si>
    <t xml:space="preserve">CPL &gt; ₹700 after ₹2,000 spend</t>
  </si>
  <si>
    <t xml:space="preserve">CPL &lt; ₹500 + quality leads</t>
  </si>
  <si>
    <t xml:space="preserve">Script 04 Reels (15 sec)</t>
  </si>
  <si>
    <t xml:space="preserve">Script 04 Full Video (30 sec)</t>
  </si>
  <si>
    <t xml:space="preserve">Static: "100 sq.ft FREE" bold text</t>
  </si>
  <si>
    <t xml:space="preserve">Video Length</t>
  </si>
  <si>
    <t xml:space="preserve">Lead Volume + CPL</t>
  </si>
  <si>
    <t xml:space="preserve">Day 4</t>
  </si>
  <si>
    <t xml:space="preserve">CPL &gt; ₹500 after ₹1,000 spend</t>
  </si>
  <si>
    <t xml:space="preserve">CPL &lt; ₹300 + 5+ leads</t>
  </si>
  <si>
    <t xml:space="preserve">Script 03 + LAL Audience</t>
  </si>
  <si>
    <t xml:space="preserve">Script 01 + LAL Audience</t>
  </si>
  <si>
    <t xml:space="preserve">Best performer from other adsets</t>
  </si>
  <si>
    <t xml:space="preserve">Creative Match</t>
  </si>
  <si>
    <t xml:space="preserve">Lowest CPL overall</t>
  </si>
  <si>
    <t xml:space="preserve">CPL &gt; ₹500 after ₹1,500 spend</t>
  </si>
  <si>
    <t xml:space="preserve">CPL &lt; ₹300</t>
  </si>
  <si>
    <t xml:space="preserve">INSTANT FORM + WHATSAPP FLOW DESIGN</t>
  </si>
  <si>
    <t xml:space="preserve">INSTANT FORM — "More Volume" Type (Phase 1: Weeks 1-2)</t>
  </si>
  <si>
    <t xml:space="preserve">Form Name</t>
  </si>
  <si>
    <t xml:space="preserve">Arcadia Aerocity — Free Site Visit Booking</t>
  </si>
  <si>
    <t xml:space="preserve">Form Type</t>
  </si>
  <si>
    <t xml:space="preserve">More Volume (switch to Higher Intent in Week 3 if lead quality is good)</t>
  </si>
  <si>
    <t xml:space="preserve">Intro Image</t>
  </si>
  <si>
    <t xml:space="preserve">Drone shot of 180-acre site with "₹13 Lakhs Starting" overlay text</t>
  </si>
  <si>
    <t xml:space="preserve">Intro Headline</t>
  </si>
  <si>
    <t xml:space="preserve">Book Your FREE Site Visit — Arcadia Aerocity Phase 2</t>
  </si>
  <si>
    <t xml:space="preserve">Intro Description</t>
  </si>
  <si>
    <t xml:space="preserve">180 Acres | DTCP &amp; RERA | Near Greenfield Airport | ₹13 Lakhs Starting</t>
  </si>
  <si>
    <t xml:space="preserve">Q1 (Prefilled)</t>
  </si>
  <si>
    <t xml:space="preserve">Full Name — Auto-prefilled from Facebook profile</t>
  </si>
  <si>
    <t xml:space="preserve">Q2 (Prefilled)</t>
  </si>
  <si>
    <t xml:space="preserve">Phone Number — Auto-prefilled (PRIMARY follow-up channel)</t>
  </si>
  <si>
    <t xml:space="preserve">Q3 (Custom)</t>
  </si>
  <si>
    <t xml:space="preserve">Which plot type interests you? → Villa Plot / Residential Plot / Investment Plot / Not Sure</t>
  </si>
  <si>
    <t xml:space="preserve">Q4 (Custom)</t>
  </si>
  <si>
    <t xml:space="preserve">Your budget range? → Under ₹15 Lakhs / ₹15-25 Lakhs / ₹25-40 Lakhs / ₹40 Lakhs+</t>
  </si>
  <si>
    <t xml:space="preserve">Q5 (Custom)</t>
  </si>
  <si>
    <t xml:space="preserve">When do you plan to buy? → This Month / 1-3 Months / 3-6 Months / Just Exploring</t>
  </si>
  <si>
    <t xml:space="preserve">Thank You Headline</t>
  </si>
  <si>
    <t xml:space="preserve">"Our team will call you within 30 minutes!"</t>
  </si>
  <si>
    <t xml:space="preserve">Thank You CTA</t>
  </si>
  <si>
    <t xml:space="preserve">Button: "Get Directions to Site" → Google Maps link to Arcadia Aerocity</t>
  </si>
  <si>
    <t xml:space="preserve">Privacy Policy</t>
  </si>
  <si>
    <t xml:space="preserve">Link to propshell.com privacy policy page</t>
  </si>
  <si>
    <t xml:space="preserve">WHATSAPP FLOW — For Adset 2 (Kanchipuram) &amp; Adset 5 (Lookalike)</t>
  </si>
  <si>
    <t xml:space="preserve">Welcome Message</t>
  </si>
  <si>
    <t xml:space="preserve">நமஸ்காரம் 🙏 Arcadia Aerocity Phase 2 பற்றி தெரிந்து கொள்ள ஆர்வமா?
180 Acres | ₹13 Lakhs Starting | DTCP &amp; RERA Approved
Reply with your name to get pricing details.</t>
  </si>
  <si>
    <t xml:space="preserve">Auto-Reply 1</t>
  </si>
  <si>
    <t xml:space="preserve">Thank you [Name]! Our property advisor will call you within 15 minutes.
Meanwhile, here's a quick overview:
📍 Location: Maha Periyavar Nagar, Kanchipuram
💰 Starting: ₹13 Lakhs
🏗️ 180 Acres Township
✅ DTCP &amp; RERA Approved
Want to book a FREE site visit? Reply YES</t>
  </si>
  <si>
    <t xml:space="preserve">Auto-Reply 2</t>
  </si>
  <si>
    <t xml:space="preserve">Site visit booked! Our team will call you to confirm timing.
📞 For immediate assistance: [Your sales number]</t>
  </si>
  <si>
    <t xml:space="preserve">Why WhatsApp</t>
  </si>
  <si>
    <t xml:space="preserve">WhatsApp leads in India real estate convert 2-3x higher than Instant Form leads because:
1. Buyers feel personal connection
2. Can share photos/videos of site directly
3. Easy follow-up without cold calling
4. Higher intent — they chose to message</t>
  </si>
  <si>
    <t xml:space="preserve">BUDGET ALLOCATION &amp; 30-DAY LEAD PROJECTIONS</t>
  </si>
  <si>
    <t xml:space="preserve">DAILY BUDGET ALLOCATION BY ADSET</t>
  </si>
  <si>
    <t xml:space="preserve">Daily Budget (INR)</t>
  </si>
  <si>
    <t xml:space="preserve">% of Total</t>
  </si>
  <si>
    <t xml:space="preserve">Monthly Spend</t>
  </si>
  <si>
    <t xml:space="preserve">Expected Leads/Month</t>
  </si>
  <si>
    <t xml:space="preserve">Expected Site Visits (15%)</t>
  </si>
  <si>
    <t xml:space="preserve">Expected Bookings (3%)</t>
  </si>
  <si>
    <t xml:space="preserve">Adset 1: Chennai Low Budget</t>
  </si>
  <si>
    <t xml:space="preserve">Adset 2: Kanchipuram Spiritual</t>
  </si>
  <si>
    <t xml:space="preserve">Adset 3: Investors &amp; NRI</t>
  </si>
  <si>
    <t xml:space="preserve">Adset 4: Offer (Nethi Adi)</t>
  </si>
  <si>
    <t xml:space="preserve">Adset 5: Lookalike</t>
  </si>
  <si>
    <t xml:space="preserve">TOTAL</t>
  </si>
  <si>
    <t xml:space="preserve">100%</t>
  </si>
  <si>
    <t xml:space="preserve">4-PHASE SCALING ROADMAP</t>
  </si>
  <si>
    <t xml:space="preserve">Phase</t>
  </si>
  <si>
    <t xml:space="preserve">Goal</t>
  </si>
  <si>
    <t xml:space="preserve">Budget</t>
  </si>
  <si>
    <t xml:space="preserve">Actions</t>
  </si>
  <si>
    <t xml:space="preserve">CPL Target</t>
  </si>
  <si>
    <t xml:space="preserve">Lead Target</t>
  </si>
  <si>
    <t xml:space="preserve">Key Note</t>
  </si>
  <si>
    <t xml:space="preserve">Phase 1
Weeks 1-2</t>
  </si>
  <si>
    <t xml:space="preserve">LAUNCH &amp; TEST</t>
  </si>
  <si>
    <t xml:space="preserve">₹6,000/day</t>
  </si>
  <si>
    <t xml:space="preserve">Launch all 5 adsets with 3 ad variants each. DO NOT touch for 3 days. On Day 4: pause zero-lead ads with ₹1,000+ spend. Day 7: first full review.</t>
  </si>
  <si>
    <t xml:space="preserve">Identify winning script + audience combo</t>
  </si>
  <si>
    <t xml:space="preserve">CPL &lt; ₹500</t>
  </si>
  <si>
    <t xml:space="preserve">70-85 leads</t>
  </si>
  <si>
    <t xml:space="preserve">Focus on DATA COLLECTION, not optimization</t>
  </si>
  <si>
    <t xml:space="preserve">Phase 2
Weeks 3-4</t>
  </si>
  <si>
    <t xml:space="preserve">OPTIMIZE &amp; CUT</t>
  </si>
  <si>
    <t xml:space="preserve">₹6,000/day
(reallocated)</t>
  </si>
  <si>
    <t xml:space="preserve">Pause losing adsets/ads. Increase winners by 20%. Launch retargeting campaign targeting video viewers + form openers. A/B test Higher Intent vs More Volume form.</t>
  </si>
  <si>
    <t xml:space="preserve">CPL below ₹350 on winners</t>
  </si>
  <si>
    <t xml:space="preserve">CPL &lt; ₹350</t>
  </si>
  <si>
    <t xml:space="preserve">85-120 leads</t>
  </si>
  <si>
    <t xml:space="preserve">Quality check with sales team — are leads calling back?</t>
  </si>
  <si>
    <t xml:space="preserve">Phase 3
Month 2</t>
  </si>
  <si>
    <t xml:space="preserve">SCALE WINNERS</t>
  </si>
  <si>
    <t xml:space="preserve">₹8,000-10,000/day</t>
  </si>
  <si>
    <t xml:space="preserve">Duplicate top adset at 30% higher budget. Create 2 new video variations of winning script. Launch Lookalike from Month 1 converted leads. Test Google Ads for comparison.</t>
  </si>
  <si>
    <t xml:space="preserve">Scale without CPL increase</t>
  </si>
  <si>
    <t xml:space="preserve">CPL &lt; ₹400</t>
  </si>
  <si>
    <t xml:space="preserve">150-200 leads</t>
  </si>
  <si>
    <t xml:space="preserve">If CPL rises &gt;20%, scale back and test new creative</t>
  </si>
  <si>
    <t xml:space="preserve">Phase 4
Month 3+</t>
  </si>
  <si>
    <t xml:space="preserve">AUTOMATE &amp; EXPAND</t>
  </si>
  <si>
    <t xml:space="preserve">₹10,000-15,000/day</t>
  </si>
  <si>
    <t xml:space="preserve">Set automated rules (pause ads with CPL &gt; 2x target). Launch seasonal campaigns (festival offers). Expand to Google Display + YouTube. Build full retargeting funnel.</t>
  </si>
  <si>
    <t xml:space="preserve">Sustained quality lead flow</t>
  </si>
  <si>
    <t xml:space="preserve">250+ leads</t>
  </si>
  <si>
    <t xml:space="preserve">Full funnel: Awareness → Retarget → Lead → Site Visit → Close</t>
  </si>
  <si>
    <t xml:space="preserve">DAILY MONITORING &amp; OPTIMIZATION PROTOCOL</t>
  </si>
  <si>
    <t xml:space="preserve">Follow this checklist EVERY DAY. The daily scheduled report auto-generates KPI dashboard — use this for decision-making.</t>
  </si>
  <si>
    <t xml:space="preserve">DAILY CHECK (9 AM — Before any changes)</t>
  </si>
  <si>
    <t xml:space="preserve">Time</t>
  </si>
  <si>
    <t xml:space="preserve">Task</t>
  </si>
  <si>
    <t xml:space="preserve">What to Check</t>
  </si>
  <si>
    <t xml:space="preserve">Action</t>
  </si>
  <si>
    <t xml:space="preserve">Priority</t>
  </si>
  <si>
    <t xml:space="preserve">9:00 AM</t>
  </si>
  <si>
    <t xml:space="preserve">Check Daily Dashboard</t>
  </si>
  <si>
    <t xml:space="preserve">Open AAC_Daily_Dashboard.html — auto-updated by scheduled task</t>
  </si>
  <si>
    <t xml:space="preserve">Review KPIs: Spend, Leads, CPL, CTR</t>
  </si>
  <si>
    <t xml:space="preserve">9:15 AM</t>
  </si>
  <si>
    <t xml:space="preserve">Check Ad-Level Performance</t>
  </si>
  <si>
    <t xml:space="preserve">In dashboard table: which ads got leads yesterday? Which spent with 0 leads?</t>
  </si>
  <si>
    <t xml:space="preserve">Identify PAUSE / SCALE / OPTIMIZE candidates</t>
  </si>
  <si>
    <t xml:space="preserve">9:30 AM</t>
  </si>
  <si>
    <t xml:space="preserve">Check Lead Quality (from CRM)</t>
  </si>
  <si>
    <t xml:space="preserve">How many of yesterday's leads were contacted? Connected? Interested?</t>
  </si>
  <si>
    <t xml:space="preserve">Update Lead Quality Excel template</t>
  </si>
  <si>
    <t xml:space="preserve">10:00 AM</t>
  </si>
  <si>
    <t xml:space="preserve">Execute Optimization</t>
  </si>
  <si>
    <t xml:space="preserve">Pause: Zero-lead ads with ₹1,000+ spend
Scale: ↑20% on CPL &lt; ₹350 ads
Optimize: Test new variant for CPL ₹350-₹600 ads</t>
  </si>
  <si>
    <t xml:space="preserve">Make changes in Meta Ads Manager</t>
  </si>
  <si>
    <t xml:space="preserve">10:30 AM</t>
  </si>
  <si>
    <t xml:space="preserve">Check Frequency</t>
  </si>
  <si>
    <t xml:space="preserve">Any adset with frequency &gt; 2.5? If yes → add new audiences or refresh creative</t>
  </si>
  <si>
    <t xml:space="preserve">Prevent ad fatigue</t>
  </si>
  <si>
    <t xml:space="preserve">MEDIUM</t>
  </si>
  <si>
    <t xml:space="preserve">11:00 AM</t>
  </si>
  <si>
    <t xml:space="preserve">Sync with Sales Team</t>
  </si>
  <si>
    <t xml:space="preserve">Which leads booked site visits? Any common objections? Which campaign's leads are best?</t>
  </si>
  <si>
    <t xml:space="preserve">Feed quality data back to optimize targeting</t>
  </si>
  <si>
    <t xml:space="preserve">DECISION RULES — When to PAUSE / SCALE / OPTIMIZE</t>
  </si>
  <si>
    <t xml:space="preserve">Condition</t>
  </si>
  <si>
    <t xml:space="preserve">Why</t>
  </si>
  <si>
    <t xml:space="preserve">⛔ PAUSE IMMEDIATELY</t>
  </si>
  <si>
    <t xml:space="preserve">Ad spent ₹1,500+ with ZERO leads</t>
  </si>
  <si>
    <t xml:space="preserve">Creative/audience mismatch — stop wasting budget</t>
  </si>
  <si>
    <t xml:space="preserve">Ad CPL &gt; 3x target (₹1,050+) after 3+ days</t>
  </si>
  <si>
    <t xml:space="preserve">Unrecoverable — audience exhausted or wrong creative</t>
  </si>
  <si>
    <t xml:space="preserve">Adset frequency &gt; 3.5</t>
  </si>
  <si>
    <t xml:space="preserve">Audience too small or too much budget — ad fatigue</t>
  </si>
  <si>
    <t xml:space="preserve">⚡ OPTIMIZE</t>
  </si>
  <si>
    <t xml:space="preserve">Ad has leads but CPL ₹350-₹700</t>
  </si>
  <si>
    <t xml:space="preserve">Test new headline, try WhatsApp vs Form, narrow age range</t>
  </si>
  <si>
    <t xml:space="preserve">CTR &lt; 0.8% but has some leads</t>
  </si>
  <si>
    <t xml:space="preserve">Weak hook — test new first 3 seconds of video</t>
  </si>
  <si>
    <t xml:space="preserve">Good CPL but low lead quality (&gt;50% Junk)</t>
  </si>
  <si>
    <t xml:space="preserve">Switch to Higher Intent form, add qualifying questions</t>
  </si>
  <si>
    <t xml:space="preserve">↑ SCALE 20%</t>
  </si>
  <si>
    <t xml:space="preserve">Ad CPL &lt; ₹350 with 3+ leads in 3 days</t>
  </si>
  <si>
    <t xml:space="preserve">Winner found — increase budget gradually (max 20% per 3 days)</t>
  </si>
  <si>
    <t xml:space="preserve">↑ SCALE 30%</t>
  </si>
  <si>
    <t xml:space="preserve">Ad CPL &lt; ₹250 with 5+ leads in 5 days</t>
  </si>
  <si>
    <t xml:space="preserve">Strong winner — duplicate adset and scale original</t>
  </si>
  <si>
    <t xml:space="preserve">↑ SCALE (Duplicate)</t>
  </si>
  <si>
    <t xml:space="preserve">Adset consistently below target CPL for 7+ days</t>
  </si>
  <si>
    <t xml:space="preserve">Create duplicate with 30% higher budget + new audience expansion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</si>
</sst>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A4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b val="true"/>
      <sz val="16"/>
      <color rgb="FF1B2A4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6F0FF"/>
        <bgColor rgb="FFD6E4F0"/>
      </patternFill>
    </fill>
    <fill>
      <patternFill patternType="solid">
        <fgColor rgb="FF2E5090"/>
        <bgColor rgb="FF0066CC"/>
      </patternFill>
    </fill>
    <fill>
      <patternFill patternType="solid">
        <fgColor rgb="FFD4EDDA"/>
        <bgColor rgb="FFD6E4F0"/>
      </patternFill>
    </fill>
    <fill>
      <patternFill patternType="solid">
        <fgColor rgb="FFF8D7DA"/>
        <bgColor rgb="FFFFF3CD"/>
      </patternFill>
    </fill>
    <fill>
      <patternFill patternType="solid">
        <fgColor rgb="FFFFF3CD"/>
        <bgColor rgb="FFFFFFFF"/>
      </patternFill>
    </fill>
    <fill>
      <patternFill patternType="solid">
        <fgColor rgb="FFD6E4F0"/>
        <bgColor rgb="FFD4ED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6F0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8C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09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5"/>
    <col collapsed="false" customWidth="true" hidden="false" outlineLevel="0" max="8" min="8" style="0" width="45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5" t="s">
        <v>4</v>
      </c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4" t="s">
        <v>5</v>
      </c>
      <c r="B6" s="5" t="s">
        <v>6</v>
      </c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4" t="s">
        <v>7</v>
      </c>
      <c r="B7" s="5" t="s">
        <v>8</v>
      </c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4" t="s">
        <v>9</v>
      </c>
      <c r="B8" s="5" t="s">
        <v>10</v>
      </c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4" t="s">
        <v>11</v>
      </c>
      <c r="B9" s="5" t="s">
        <v>12</v>
      </c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4" t="s">
        <v>13</v>
      </c>
      <c r="B10" s="5" t="s">
        <v>14</v>
      </c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4" t="s">
        <v>15</v>
      </c>
      <c r="B11" s="5" t="s">
        <v>16</v>
      </c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4" t="s">
        <v>17</v>
      </c>
      <c r="B12" s="5" t="s">
        <v>18</v>
      </c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4" t="s">
        <v>19</v>
      </c>
      <c r="B13" s="5" t="s">
        <v>20</v>
      </c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4" t="s">
        <v>21</v>
      </c>
      <c r="B14" s="5" t="s">
        <v>22</v>
      </c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4" t="s">
        <v>23</v>
      </c>
      <c r="B15" s="5" t="s">
        <v>24</v>
      </c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4" t="s">
        <v>25</v>
      </c>
      <c r="B16" s="5" t="s">
        <v>26</v>
      </c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A17" s="4" t="s">
        <v>27</v>
      </c>
      <c r="B17" s="5" t="s">
        <v>28</v>
      </c>
      <c r="C17" s="5"/>
      <c r="D17" s="5"/>
      <c r="E17" s="5"/>
      <c r="F17" s="5"/>
      <c r="G17" s="5"/>
      <c r="H17" s="5"/>
    </row>
    <row r="18" customFormat="false" ht="15" hidden="false" customHeight="false" outlineLevel="0" collapsed="false">
      <c r="A18" s="4" t="s">
        <v>29</v>
      </c>
      <c r="B18" s="5" t="s">
        <v>30</v>
      </c>
      <c r="C18" s="5"/>
      <c r="D18" s="5"/>
      <c r="E18" s="5"/>
      <c r="F18" s="5"/>
      <c r="G18" s="5"/>
      <c r="H18" s="5"/>
    </row>
    <row r="19" customFormat="false" ht="15" hidden="false" customHeight="false" outlineLevel="0" collapsed="false">
      <c r="A19" s="4" t="s">
        <v>31</v>
      </c>
      <c r="B19" s="5" t="s">
        <v>32</v>
      </c>
      <c r="C19" s="5"/>
      <c r="D19" s="5"/>
      <c r="E19" s="5"/>
      <c r="F19" s="5"/>
      <c r="G19" s="5"/>
      <c r="H19" s="5"/>
    </row>
    <row r="22" customFormat="false" ht="15" hidden="false" customHeight="false" outlineLevel="0" collapsed="false">
      <c r="A22" s="3" t="s">
        <v>33</v>
      </c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6" t="s">
        <v>34</v>
      </c>
      <c r="B23" s="6" t="s">
        <v>35</v>
      </c>
      <c r="C23" s="6" t="s">
        <v>36</v>
      </c>
      <c r="D23" s="6" t="s">
        <v>37</v>
      </c>
      <c r="E23" s="6" t="s">
        <v>38</v>
      </c>
      <c r="F23" s="6" t="s">
        <v>39</v>
      </c>
      <c r="G23" s="6" t="s">
        <v>40</v>
      </c>
      <c r="H23" s="6" t="s">
        <v>41</v>
      </c>
    </row>
    <row r="24" customFormat="false" ht="15" hidden="false" customHeight="false" outlineLevel="0" collapsed="false">
      <c r="A24" s="7" t="s">
        <v>42</v>
      </c>
      <c r="B24" s="8" t="n">
        <v>20731</v>
      </c>
      <c r="C24" s="8" t="n">
        <v>14651</v>
      </c>
      <c r="D24" s="8" t="n">
        <f aca="false">B24+C24</f>
        <v>35382</v>
      </c>
      <c r="E24" s="8" t="s">
        <v>43</v>
      </c>
      <c r="F24" s="9" t="s">
        <v>44</v>
      </c>
      <c r="G24" s="8" t="s">
        <v>45</v>
      </c>
      <c r="H24" s="8" t="s">
        <v>46</v>
      </c>
    </row>
    <row r="25" customFormat="false" ht="15" hidden="false" customHeight="false" outlineLevel="0" collapsed="false">
      <c r="A25" s="7" t="s">
        <v>47</v>
      </c>
      <c r="B25" s="8" t="n">
        <v>12</v>
      </c>
      <c r="C25" s="8" t="n">
        <v>24</v>
      </c>
      <c r="D25" s="8" t="n">
        <f aca="false">B25+C25</f>
        <v>36</v>
      </c>
      <c r="E25" s="8" t="s">
        <v>48</v>
      </c>
      <c r="F25" s="10" t="s">
        <v>49</v>
      </c>
      <c r="G25" s="8" t="s">
        <v>50</v>
      </c>
      <c r="H25" s="8" t="s">
        <v>51</v>
      </c>
    </row>
    <row r="26" customFormat="false" ht="15" hidden="false" customHeight="false" outlineLevel="0" collapsed="false">
      <c r="A26" s="7" t="s">
        <v>52</v>
      </c>
      <c r="B26" s="8" t="n">
        <v>1728</v>
      </c>
      <c r="C26" s="8" t="n">
        <v>610</v>
      </c>
      <c r="D26" s="8" t="n">
        <f aca="false">(B24+C24)/(B25+C25)</f>
        <v>982.833333333333</v>
      </c>
      <c r="E26" s="8" t="s">
        <v>53</v>
      </c>
      <c r="F26" s="10" t="s">
        <v>49</v>
      </c>
      <c r="G26" s="8" t="s">
        <v>54</v>
      </c>
      <c r="H26" s="8" t="s">
        <v>55</v>
      </c>
    </row>
    <row r="27" customFormat="false" ht="15" hidden="false" customHeight="false" outlineLevel="0" collapsed="false">
      <c r="A27" s="7" t="s">
        <v>56</v>
      </c>
      <c r="B27" s="8" t="n">
        <v>0.72</v>
      </c>
      <c r="C27" s="8" t="n">
        <v>0.9</v>
      </c>
      <c r="D27" s="8" t="n">
        <f aca="false">(B24+C24)/(132506+62134)*100</f>
        <v>18.1781750924784</v>
      </c>
      <c r="E27" s="8" t="s">
        <v>57</v>
      </c>
      <c r="F27" s="11" t="s">
        <v>58</v>
      </c>
      <c r="G27" s="8" t="s">
        <v>59</v>
      </c>
      <c r="H27" s="8" t="s">
        <v>60</v>
      </c>
    </row>
    <row r="28" customFormat="false" ht="15" hidden="false" customHeight="false" outlineLevel="0" collapsed="false">
      <c r="A28" s="7" t="s">
        <v>61</v>
      </c>
      <c r="B28" s="8" t="n">
        <v>21.59</v>
      </c>
      <c r="C28" s="8" t="n">
        <v>26.12</v>
      </c>
      <c r="D28" s="8" t="n">
        <f aca="false">(B24+C24)/(960+561)</f>
        <v>23.2623274161736</v>
      </c>
      <c r="E28" s="8" t="s">
        <v>62</v>
      </c>
      <c r="F28" s="11" t="s">
        <v>63</v>
      </c>
      <c r="G28" s="8" t="s">
        <v>64</v>
      </c>
      <c r="H28" s="8" t="s">
        <v>65</v>
      </c>
    </row>
    <row r="29" customFormat="false" ht="15" hidden="false" customHeight="false" outlineLevel="0" collapsed="false">
      <c r="A29" s="7" t="s">
        <v>66</v>
      </c>
      <c r="B29" s="8" t="n">
        <v>2.04</v>
      </c>
      <c r="C29" s="8" t="n">
        <v>1.73</v>
      </c>
      <c r="D29" s="8" t="n">
        <f aca="false">(B29+C29)/2</f>
        <v>1.885</v>
      </c>
      <c r="E29" s="8" t="s">
        <v>67</v>
      </c>
      <c r="F29" s="9" t="s">
        <v>44</v>
      </c>
      <c r="G29" s="8" t="s">
        <v>68</v>
      </c>
      <c r="H29" s="8" t="s">
        <v>69</v>
      </c>
    </row>
  </sheetData>
  <mergeCells count="19">
    <mergeCell ref="A1:H1"/>
    <mergeCell ref="A2:H2"/>
    <mergeCell ref="A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45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45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2" t="s">
        <v>70</v>
      </c>
      <c r="B1" s="12"/>
      <c r="C1" s="12"/>
      <c r="D1" s="12"/>
      <c r="E1" s="12"/>
      <c r="F1" s="12"/>
      <c r="G1" s="12"/>
      <c r="H1" s="12"/>
    </row>
    <row r="2" customFormat="false" ht="15" hidden="false" customHeight="false" outlineLevel="0" collapsed="false">
      <c r="A2" s="2" t="s">
        <v>71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72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6" t="s">
        <v>73</v>
      </c>
      <c r="B5" s="6" t="s">
        <v>74</v>
      </c>
      <c r="C5" s="6" t="s">
        <v>75</v>
      </c>
    </row>
    <row r="6" customFormat="false" ht="34.5" hidden="false" customHeight="true" outlineLevel="0" collapsed="false">
      <c r="A6" s="13" t="s">
        <v>76</v>
      </c>
      <c r="B6" s="14" t="s">
        <v>77</v>
      </c>
      <c r="C6" s="14" t="s">
        <v>78</v>
      </c>
    </row>
    <row r="7" customFormat="false" ht="34.5" hidden="false" customHeight="true" outlineLevel="0" collapsed="false">
      <c r="A7" s="13" t="s">
        <v>79</v>
      </c>
      <c r="B7" s="14" t="s">
        <v>80</v>
      </c>
      <c r="C7" s="14" t="s">
        <v>81</v>
      </c>
    </row>
    <row r="8" customFormat="false" ht="34.5" hidden="false" customHeight="true" outlineLevel="0" collapsed="false">
      <c r="A8" s="13" t="s">
        <v>82</v>
      </c>
      <c r="B8" s="14" t="s">
        <v>83</v>
      </c>
      <c r="C8" s="14" t="s">
        <v>84</v>
      </c>
    </row>
    <row r="9" customFormat="false" ht="34.5" hidden="false" customHeight="true" outlineLevel="0" collapsed="false">
      <c r="A9" s="13" t="s">
        <v>85</v>
      </c>
      <c r="B9" s="14" t="s">
        <v>86</v>
      </c>
      <c r="C9" s="14" t="s">
        <v>87</v>
      </c>
    </row>
    <row r="10" customFormat="false" ht="34.5" hidden="false" customHeight="true" outlineLevel="0" collapsed="false">
      <c r="A10" s="13" t="s">
        <v>88</v>
      </c>
      <c r="B10" s="14" t="s">
        <v>89</v>
      </c>
      <c r="C10" s="14" t="s">
        <v>90</v>
      </c>
    </row>
    <row r="11" customFormat="false" ht="34.5" hidden="false" customHeight="true" outlineLevel="0" collapsed="false">
      <c r="A11" s="13" t="s">
        <v>91</v>
      </c>
      <c r="B11" s="14" t="s">
        <v>92</v>
      </c>
      <c r="C11" s="14" t="s">
        <v>93</v>
      </c>
    </row>
    <row r="12" customFormat="false" ht="34.5" hidden="false" customHeight="true" outlineLevel="0" collapsed="false">
      <c r="A12" s="13" t="s">
        <v>94</v>
      </c>
      <c r="B12" s="14" t="s">
        <v>95</v>
      </c>
      <c r="C12" s="14" t="s">
        <v>96</v>
      </c>
    </row>
    <row r="13" customFormat="false" ht="34.5" hidden="false" customHeight="true" outlineLevel="0" collapsed="false">
      <c r="A13" s="13" t="s">
        <v>97</v>
      </c>
      <c r="B13" s="14" t="s">
        <v>98</v>
      </c>
      <c r="C13" s="14" t="s">
        <v>99</v>
      </c>
    </row>
    <row r="14" customFormat="false" ht="34.5" hidden="false" customHeight="true" outlineLevel="0" collapsed="false">
      <c r="A14" s="13" t="s">
        <v>100</v>
      </c>
      <c r="B14" s="14" t="s">
        <v>101</v>
      </c>
      <c r="C14" s="14" t="s">
        <v>102</v>
      </c>
    </row>
    <row r="16" customFormat="false" ht="15" hidden="false" customHeight="false" outlineLevel="0" collapsed="false">
      <c r="A16" s="3" t="s">
        <v>103</v>
      </c>
      <c r="B16" s="3"/>
      <c r="C16" s="3"/>
      <c r="D16" s="3"/>
      <c r="E16" s="3"/>
      <c r="F16" s="3"/>
      <c r="G16" s="3"/>
      <c r="H16" s="3"/>
    </row>
    <row r="17" customFormat="false" ht="23.85" hidden="false" customHeight="false" outlineLevel="0" collapsed="false">
      <c r="A17" s="6" t="s">
        <v>104</v>
      </c>
      <c r="B17" s="6" t="s">
        <v>105</v>
      </c>
      <c r="C17" s="6" t="s">
        <v>106</v>
      </c>
      <c r="D17" s="6" t="s">
        <v>107</v>
      </c>
      <c r="E17" s="6" t="s">
        <v>108</v>
      </c>
      <c r="F17" s="6" t="s">
        <v>109</v>
      </c>
      <c r="G17" s="6" t="s">
        <v>110</v>
      </c>
      <c r="H17" s="6" t="s">
        <v>111</v>
      </c>
    </row>
    <row r="18" customFormat="false" ht="79.5" hidden="false" customHeight="true" outlineLevel="0" collapsed="false">
      <c r="A18" s="15" t="s">
        <v>112</v>
      </c>
      <c r="B18" s="16" t="s">
        <v>113</v>
      </c>
      <c r="C18" s="16" t="s">
        <v>114</v>
      </c>
      <c r="D18" s="16" t="s">
        <v>115</v>
      </c>
      <c r="E18" s="16" t="s">
        <v>116</v>
      </c>
      <c r="F18" s="16" t="s">
        <v>117</v>
      </c>
      <c r="G18" s="16" t="s">
        <v>118</v>
      </c>
      <c r="H18" s="16" t="s">
        <v>119</v>
      </c>
    </row>
    <row r="19" customFormat="false" ht="79.5" hidden="false" customHeight="true" outlineLevel="0" collapsed="false">
      <c r="A19" s="15" t="s">
        <v>120</v>
      </c>
      <c r="B19" s="16" t="s">
        <v>121</v>
      </c>
      <c r="C19" s="16" t="s">
        <v>122</v>
      </c>
      <c r="D19" s="16" t="s">
        <v>123</v>
      </c>
      <c r="E19" s="16" t="s">
        <v>124</v>
      </c>
      <c r="F19" s="16" t="s">
        <v>125</v>
      </c>
      <c r="G19" s="16" t="s">
        <v>126</v>
      </c>
      <c r="H19" s="16" t="s">
        <v>127</v>
      </c>
    </row>
    <row r="20" customFormat="false" ht="79.5" hidden="false" customHeight="true" outlineLevel="0" collapsed="false">
      <c r="A20" s="15" t="s">
        <v>128</v>
      </c>
      <c r="B20" s="16" t="s">
        <v>129</v>
      </c>
      <c r="C20" s="16" t="s">
        <v>130</v>
      </c>
      <c r="D20" s="16" t="s">
        <v>131</v>
      </c>
      <c r="E20" s="16" t="s">
        <v>132</v>
      </c>
      <c r="F20" s="16" t="s">
        <v>125</v>
      </c>
      <c r="G20" s="16" t="s">
        <v>133</v>
      </c>
      <c r="H20" s="16" t="s">
        <v>134</v>
      </c>
    </row>
    <row r="21" customFormat="false" ht="79.5" hidden="false" customHeight="true" outlineLevel="0" collapsed="false">
      <c r="A21" s="15" t="s">
        <v>135</v>
      </c>
      <c r="B21" s="16" t="s">
        <v>136</v>
      </c>
      <c r="C21" s="16" t="s">
        <v>137</v>
      </c>
      <c r="D21" s="16" t="s">
        <v>138</v>
      </c>
      <c r="E21" s="16" t="s">
        <v>139</v>
      </c>
      <c r="F21" s="16" t="s">
        <v>125</v>
      </c>
      <c r="G21" s="16" t="s">
        <v>140</v>
      </c>
      <c r="H21" s="16" t="s">
        <v>127</v>
      </c>
    </row>
    <row r="22" customFormat="false" ht="79.5" hidden="false" customHeight="true" outlineLevel="0" collapsed="false">
      <c r="A22" s="15" t="s">
        <v>141</v>
      </c>
      <c r="B22" s="16" t="s">
        <v>142</v>
      </c>
      <c r="C22" s="16" t="s">
        <v>143</v>
      </c>
      <c r="D22" s="16" t="s">
        <v>144</v>
      </c>
      <c r="E22" s="16" t="s">
        <v>145</v>
      </c>
      <c r="F22" s="16" t="s">
        <v>146</v>
      </c>
      <c r="G22" s="16" t="s">
        <v>147</v>
      </c>
      <c r="H22" s="16" t="s">
        <v>148</v>
      </c>
    </row>
  </sheetData>
  <mergeCells count="4">
    <mergeCell ref="A1:H1"/>
    <mergeCell ref="A2:H2"/>
    <mergeCell ref="A4:H4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25"/>
    <col collapsed="false" customWidth="true" hidden="false" outlineLevel="0" max="6" min="5" style="0" width="18"/>
    <col collapsed="false" customWidth="true" hidden="false" outlineLevel="0" max="7" min="7" style="0" width="12"/>
    <col collapsed="false" customWidth="true" hidden="false" outlineLevel="0" max="9" min="8" style="0" width="28"/>
  </cols>
  <sheetData>
    <row r="1" customFormat="false" ht="19.7" hidden="false" customHeight="false" outlineLevel="0" collapsed="false">
      <c r="A1" s="12" t="s">
        <v>149</v>
      </c>
      <c r="B1" s="12"/>
      <c r="C1" s="12"/>
      <c r="D1" s="12"/>
      <c r="E1" s="12"/>
      <c r="F1" s="12"/>
      <c r="G1" s="12"/>
      <c r="H1" s="12"/>
      <c r="I1" s="12"/>
    </row>
    <row r="2" customFormat="false" ht="15" hidden="false" customHeight="false" outlineLevel="0" collapsed="false">
      <c r="A2" s="2" t="s">
        <v>150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151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6" t="s">
        <v>152</v>
      </c>
      <c r="B5" s="6" t="s">
        <v>153</v>
      </c>
      <c r="C5" s="6" t="s">
        <v>154</v>
      </c>
      <c r="D5" s="6" t="s">
        <v>155</v>
      </c>
      <c r="E5" s="6" t="s">
        <v>156</v>
      </c>
      <c r="F5" s="6" t="s">
        <v>157</v>
      </c>
      <c r="G5" s="6" t="s">
        <v>158</v>
      </c>
      <c r="H5" s="6" t="s">
        <v>27</v>
      </c>
      <c r="I5" s="6" t="s">
        <v>159</v>
      </c>
    </row>
    <row r="6" customFormat="false" ht="99.75" hidden="false" customHeight="true" outlineLevel="0" collapsed="false">
      <c r="A6" s="17" t="s">
        <v>160</v>
      </c>
      <c r="B6" s="18" t="s">
        <v>161</v>
      </c>
      <c r="C6" s="18" t="s">
        <v>162</v>
      </c>
      <c r="D6" s="18" t="s">
        <v>163</v>
      </c>
      <c r="E6" s="18" t="s">
        <v>164</v>
      </c>
      <c r="F6" s="18" t="s">
        <v>165</v>
      </c>
      <c r="G6" s="18" t="s">
        <v>166</v>
      </c>
      <c r="H6" s="18" t="s">
        <v>167</v>
      </c>
      <c r="I6" s="18" t="s">
        <v>168</v>
      </c>
    </row>
    <row r="7" customFormat="false" ht="99.75" hidden="false" customHeight="true" outlineLevel="0" collapsed="false">
      <c r="A7" s="15" t="s">
        <v>169</v>
      </c>
      <c r="B7" s="16" t="s">
        <v>170</v>
      </c>
      <c r="C7" s="16" t="s">
        <v>162</v>
      </c>
      <c r="D7" s="16" t="s">
        <v>171</v>
      </c>
      <c r="E7" s="16" t="s">
        <v>172</v>
      </c>
      <c r="F7" s="16" t="s">
        <v>173</v>
      </c>
      <c r="G7" s="16" t="s">
        <v>174</v>
      </c>
      <c r="H7" s="16" t="s">
        <v>167</v>
      </c>
      <c r="I7" s="16" t="s">
        <v>175</v>
      </c>
    </row>
    <row r="8" customFormat="false" ht="99.75" hidden="false" customHeight="true" outlineLevel="0" collapsed="false">
      <c r="A8" s="15" t="s">
        <v>176</v>
      </c>
      <c r="B8" s="16" t="s">
        <v>177</v>
      </c>
      <c r="C8" s="16" t="s">
        <v>178</v>
      </c>
      <c r="D8" s="16" t="s">
        <v>179</v>
      </c>
      <c r="E8" s="16" t="s">
        <v>180</v>
      </c>
      <c r="F8" s="16" t="s">
        <v>181</v>
      </c>
      <c r="G8" s="16" t="s">
        <v>182</v>
      </c>
      <c r="H8" s="16" t="s">
        <v>167</v>
      </c>
      <c r="I8" s="16" t="s">
        <v>183</v>
      </c>
    </row>
    <row r="9" customFormat="false" ht="99.75" hidden="false" customHeight="true" outlineLevel="0" collapsed="false">
      <c r="A9" s="17" t="s">
        <v>184</v>
      </c>
      <c r="B9" s="18" t="s">
        <v>185</v>
      </c>
      <c r="C9" s="18" t="s">
        <v>186</v>
      </c>
      <c r="D9" s="18" t="s">
        <v>187</v>
      </c>
      <c r="E9" s="18" t="s">
        <v>188</v>
      </c>
      <c r="F9" s="18" t="s">
        <v>189</v>
      </c>
      <c r="G9" s="18" t="s">
        <v>190</v>
      </c>
      <c r="H9" s="18" t="s">
        <v>167</v>
      </c>
      <c r="I9" s="18" t="s">
        <v>191</v>
      </c>
    </row>
    <row r="10" customFormat="false" ht="99.75" hidden="false" customHeight="true" outlineLevel="0" collapsed="false">
      <c r="A10" s="15" t="s">
        <v>192</v>
      </c>
      <c r="B10" s="16" t="s">
        <v>193</v>
      </c>
      <c r="C10" s="16" t="s">
        <v>194</v>
      </c>
      <c r="D10" s="16" t="s">
        <v>195</v>
      </c>
      <c r="E10" s="16" t="s">
        <v>196</v>
      </c>
      <c r="F10" s="16" t="s">
        <v>197</v>
      </c>
      <c r="G10" s="16" t="s">
        <v>198</v>
      </c>
      <c r="H10" s="16" t="s">
        <v>167</v>
      </c>
      <c r="I10" s="16" t="s">
        <v>199</v>
      </c>
    </row>
    <row r="13" customFormat="false" ht="15" hidden="false" customHeight="false" outlineLevel="0" collapsed="false">
      <c r="A13" s="3" t="s">
        <v>200</v>
      </c>
      <c r="B13" s="3"/>
      <c r="C13" s="3"/>
      <c r="D13" s="3"/>
      <c r="E13" s="3"/>
      <c r="F13" s="3"/>
      <c r="G13" s="3"/>
      <c r="H13" s="3"/>
      <c r="I13" s="3"/>
    </row>
    <row r="14" customFormat="false" ht="15" hidden="false" customHeight="false" outlineLevel="0" collapsed="false">
      <c r="A14" s="6" t="s">
        <v>201</v>
      </c>
      <c r="B14" s="6" t="s">
        <v>202</v>
      </c>
      <c r="C14" s="6" t="s">
        <v>203</v>
      </c>
      <c r="D14" s="6" t="s">
        <v>204</v>
      </c>
      <c r="E14" s="6" t="s">
        <v>205</v>
      </c>
      <c r="F14" s="6" t="s">
        <v>206</v>
      </c>
      <c r="G14" s="6" t="s">
        <v>207</v>
      </c>
      <c r="H14" s="6" t="s">
        <v>208</v>
      </c>
      <c r="I14" s="6" t="s">
        <v>209</v>
      </c>
    </row>
    <row r="15" customFormat="false" ht="54.75" hidden="false" customHeight="true" outlineLevel="0" collapsed="false">
      <c r="A15" s="15" t="s">
        <v>112</v>
      </c>
      <c r="B15" s="16" t="s">
        <v>210</v>
      </c>
      <c r="C15" s="16" t="s">
        <v>211</v>
      </c>
      <c r="D15" s="16" t="s">
        <v>212</v>
      </c>
      <c r="E15" s="16" t="s">
        <v>94</v>
      </c>
      <c r="F15" s="16" t="s">
        <v>213</v>
      </c>
      <c r="G15" s="16" t="s">
        <v>214</v>
      </c>
      <c r="H15" s="16" t="s">
        <v>215</v>
      </c>
      <c r="I15" s="16" t="s">
        <v>216</v>
      </c>
    </row>
    <row r="16" customFormat="false" ht="54.75" hidden="false" customHeight="true" outlineLevel="0" collapsed="false">
      <c r="A16" s="15" t="s">
        <v>120</v>
      </c>
      <c r="B16" s="16" t="s">
        <v>217</v>
      </c>
      <c r="C16" s="16" t="s">
        <v>218</v>
      </c>
      <c r="D16" s="16" t="s">
        <v>219</v>
      </c>
      <c r="E16" s="16" t="s">
        <v>220</v>
      </c>
      <c r="F16" s="16" t="s">
        <v>221</v>
      </c>
      <c r="G16" s="16" t="s">
        <v>214</v>
      </c>
      <c r="H16" s="16" t="s">
        <v>215</v>
      </c>
      <c r="I16" s="16" t="s">
        <v>222</v>
      </c>
    </row>
    <row r="17" customFormat="false" ht="54.75" hidden="false" customHeight="true" outlineLevel="0" collapsed="false">
      <c r="A17" s="15" t="s">
        <v>128</v>
      </c>
      <c r="B17" s="16" t="s">
        <v>223</v>
      </c>
      <c r="C17" s="16" t="s">
        <v>224</v>
      </c>
      <c r="D17" s="16" t="s">
        <v>225</v>
      </c>
      <c r="E17" s="16" t="s">
        <v>226</v>
      </c>
      <c r="F17" s="16" t="s">
        <v>227</v>
      </c>
      <c r="G17" s="16" t="s">
        <v>228</v>
      </c>
      <c r="H17" s="16" t="s">
        <v>229</v>
      </c>
      <c r="I17" s="16" t="s">
        <v>230</v>
      </c>
    </row>
    <row r="18" customFormat="false" ht="54.75" hidden="false" customHeight="true" outlineLevel="0" collapsed="false">
      <c r="A18" s="15" t="s">
        <v>135</v>
      </c>
      <c r="B18" s="16" t="s">
        <v>231</v>
      </c>
      <c r="C18" s="16" t="s">
        <v>232</v>
      </c>
      <c r="D18" s="16" t="s">
        <v>233</v>
      </c>
      <c r="E18" s="16" t="s">
        <v>234</v>
      </c>
      <c r="F18" s="16" t="s">
        <v>235</v>
      </c>
      <c r="G18" s="16" t="s">
        <v>236</v>
      </c>
      <c r="H18" s="16" t="s">
        <v>237</v>
      </c>
      <c r="I18" s="16" t="s">
        <v>238</v>
      </c>
    </row>
    <row r="19" customFormat="false" ht="54.75" hidden="false" customHeight="true" outlineLevel="0" collapsed="false">
      <c r="A19" s="15" t="s">
        <v>141</v>
      </c>
      <c r="B19" s="16" t="s">
        <v>239</v>
      </c>
      <c r="C19" s="16" t="s">
        <v>240</v>
      </c>
      <c r="D19" s="16" t="s">
        <v>241</v>
      </c>
      <c r="E19" s="16" t="s">
        <v>242</v>
      </c>
      <c r="F19" s="16" t="s">
        <v>243</v>
      </c>
      <c r="G19" s="16" t="s">
        <v>228</v>
      </c>
      <c r="H19" s="16" t="s">
        <v>244</v>
      </c>
      <c r="I19" s="16" t="s">
        <v>245</v>
      </c>
    </row>
  </sheetData>
  <mergeCells count="4">
    <mergeCell ref="A1:I1"/>
    <mergeCell ref="A2:I2"/>
    <mergeCell ref="A4:I4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19.7" hidden="false" customHeight="false" outlineLevel="0" collapsed="false">
      <c r="A1" s="12" t="s">
        <v>246</v>
      </c>
      <c r="B1" s="12"/>
      <c r="C1" s="12"/>
      <c r="D1" s="12"/>
      <c r="E1" s="12"/>
      <c r="F1" s="12"/>
    </row>
    <row r="3" customFormat="false" ht="15" hidden="false" customHeight="false" outlineLevel="0" collapsed="false">
      <c r="A3" s="3" t="s">
        <v>247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4" t="s">
        <v>248</v>
      </c>
      <c r="B4" s="5" t="s">
        <v>249</v>
      </c>
      <c r="C4" s="5"/>
      <c r="D4" s="5"/>
      <c r="E4" s="5"/>
      <c r="F4" s="5"/>
    </row>
    <row r="5" customFormat="false" ht="15" hidden="false" customHeight="false" outlineLevel="0" collapsed="false">
      <c r="A5" s="4" t="s">
        <v>250</v>
      </c>
      <c r="B5" s="5" t="s">
        <v>251</v>
      </c>
      <c r="C5" s="5"/>
      <c r="D5" s="5"/>
      <c r="E5" s="5"/>
      <c r="F5" s="5"/>
    </row>
    <row r="6" customFormat="false" ht="15" hidden="false" customHeight="false" outlineLevel="0" collapsed="false">
      <c r="A6" s="4" t="s">
        <v>252</v>
      </c>
      <c r="B6" s="5" t="s">
        <v>253</v>
      </c>
      <c r="C6" s="5"/>
      <c r="D6" s="5"/>
      <c r="E6" s="5"/>
      <c r="F6" s="5"/>
    </row>
    <row r="7" customFormat="false" ht="15" hidden="false" customHeight="false" outlineLevel="0" collapsed="false">
      <c r="A7" s="4" t="s">
        <v>254</v>
      </c>
      <c r="B7" s="5" t="s">
        <v>255</v>
      </c>
      <c r="C7" s="5"/>
      <c r="D7" s="5"/>
      <c r="E7" s="5"/>
      <c r="F7" s="5"/>
    </row>
    <row r="8" customFormat="false" ht="15" hidden="false" customHeight="false" outlineLevel="0" collapsed="false">
      <c r="A8" s="4" t="s">
        <v>256</v>
      </c>
      <c r="B8" s="5" t="s">
        <v>257</v>
      </c>
      <c r="C8" s="5"/>
      <c r="D8" s="5"/>
      <c r="E8" s="5"/>
      <c r="F8" s="5"/>
    </row>
    <row r="9" customFormat="false" ht="15" hidden="false" customHeight="false" outlineLevel="0" collapsed="false">
      <c r="A9" s="4" t="s">
        <v>258</v>
      </c>
      <c r="B9" s="5" t="s">
        <v>259</v>
      </c>
      <c r="C9" s="5"/>
      <c r="D9" s="5"/>
      <c r="E9" s="5"/>
      <c r="F9" s="5"/>
    </row>
    <row r="10" customFormat="false" ht="15" hidden="false" customHeight="false" outlineLevel="0" collapsed="false">
      <c r="A10" s="4" t="s">
        <v>260</v>
      </c>
      <c r="B10" s="5" t="s">
        <v>261</v>
      </c>
      <c r="C10" s="5"/>
      <c r="D10" s="5"/>
      <c r="E10" s="5"/>
      <c r="F10" s="5"/>
    </row>
    <row r="11" customFormat="false" ht="15" hidden="false" customHeight="false" outlineLevel="0" collapsed="false">
      <c r="A11" s="4" t="s">
        <v>262</v>
      </c>
      <c r="B11" s="5" t="s">
        <v>263</v>
      </c>
      <c r="C11" s="5"/>
      <c r="D11" s="5"/>
      <c r="E11" s="5"/>
      <c r="F11" s="5"/>
    </row>
    <row r="12" customFormat="false" ht="15" hidden="false" customHeight="false" outlineLevel="0" collapsed="false">
      <c r="A12" s="4" t="s">
        <v>264</v>
      </c>
      <c r="B12" s="5" t="s">
        <v>265</v>
      </c>
      <c r="C12" s="5"/>
      <c r="D12" s="5"/>
      <c r="E12" s="5"/>
      <c r="F12" s="5"/>
    </row>
    <row r="13" customFormat="false" ht="15" hidden="false" customHeight="false" outlineLevel="0" collapsed="false">
      <c r="A13" s="4" t="s">
        <v>266</v>
      </c>
      <c r="B13" s="5" t="s">
        <v>267</v>
      </c>
      <c r="C13" s="5"/>
      <c r="D13" s="5"/>
      <c r="E13" s="5"/>
      <c r="F13" s="5"/>
    </row>
    <row r="14" customFormat="false" ht="15" hidden="false" customHeight="false" outlineLevel="0" collapsed="false">
      <c r="A14" s="4" t="s">
        <v>268</v>
      </c>
      <c r="B14" s="5" t="s">
        <v>269</v>
      </c>
      <c r="C14" s="5"/>
      <c r="D14" s="5"/>
      <c r="E14" s="5"/>
      <c r="F14" s="5"/>
    </row>
    <row r="15" customFormat="false" ht="15" hidden="false" customHeight="false" outlineLevel="0" collapsed="false">
      <c r="A15" s="4" t="s">
        <v>270</v>
      </c>
      <c r="B15" s="5" t="s">
        <v>271</v>
      </c>
      <c r="C15" s="5"/>
      <c r="D15" s="5"/>
      <c r="E15" s="5"/>
      <c r="F15" s="5"/>
    </row>
    <row r="16" customFormat="false" ht="15" hidden="false" customHeight="false" outlineLevel="0" collapsed="false">
      <c r="A16" s="4" t="s">
        <v>272</v>
      </c>
      <c r="B16" s="5" t="s">
        <v>273</v>
      </c>
      <c r="C16" s="5"/>
      <c r="D16" s="5"/>
      <c r="E16" s="5"/>
      <c r="F16" s="5"/>
    </row>
    <row r="18" customFormat="false" ht="15" hidden="false" customHeight="false" outlineLevel="0" collapsed="false">
      <c r="A18" s="3" t="s">
        <v>274</v>
      </c>
      <c r="B18" s="3"/>
      <c r="C18" s="3"/>
      <c r="D18" s="3"/>
      <c r="E18" s="3"/>
      <c r="F18" s="3"/>
    </row>
    <row r="19" customFormat="false" ht="79.5" hidden="false" customHeight="true" outlineLevel="0" collapsed="false">
      <c r="A19" s="7" t="s">
        <v>275</v>
      </c>
      <c r="B19" s="19" t="s">
        <v>276</v>
      </c>
      <c r="C19" s="19"/>
      <c r="D19" s="19"/>
      <c r="E19" s="19"/>
      <c r="F19" s="19"/>
    </row>
    <row r="20" customFormat="false" ht="79.5" hidden="false" customHeight="true" outlineLevel="0" collapsed="false">
      <c r="A20" s="7" t="s">
        <v>277</v>
      </c>
      <c r="B20" s="19" t="s">
        <v>278</v>
      </c>
      <c r="C20" s="19"/>
      <c r="D20" s="19"/>
      <c r="E20" s="19"/>
      <c r="F20" s="19"/>
    </row>
    <row r="21" customFormat="false" ht="79.5" hidden="false" customHeight="true" outlineLevel="0" collapsed="false">
      <c r="A21" s="7" t="s">
        <v>279</v>
      </c>
      <c r="B21" s="19" t="s">
        <v>280</v>
      </c>
      <c r="C21" s="19"/>
      <c r="D21" s="19"/>
      <c r="E21" s="19"/>
      <c r="F21" s="19"/>
    </row>
    <row r="22" customFormat="false" ht="79.5" hidden="false" customHeight="true" outlineLevel="0" collapsed="false">
      <c r="A22" s="7" t="s">
        <v>281</v>
      </c>
      <c r="B22" s="19" t="s">
        <v>282</v>
      </c>
      <c r="C22" s="19"/>
      <c r="D22" s="19"/>
      <c r="E22" s="19"/>
      <c r="F22" s="19"/>
    </row>
  </sheetData>
  <mergeCells count="20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8:F18"/>
    <mergeCell ref="B19:F19"/>
    <mergeCell ref="B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25"/>
    <col collapsed="false" customWidth="true" hidden="false" outlineLevel="0" max="7" min="6" style="0" width="14"/>
    <col collapsed="false" customWidth="true" hidden="false" outlineLevel="0" max="8" min="8" style="0" width="40"/>
  </cols>
  <sheetData>
    <row r="1" customFormat="false" ht="19.7" hidden="false" customHeight="false" outlineLevel="0" collapsed="false">
      <c r="A1" s="12" t="s">
        <v>283</v>
      </c>
      <c r="B1" s="12"/>
      <c r="C1" s="12"/>
      <c r="D1" s="12"/>
      <c r="E1" s="12"/>
      <c r="F1" s="12"/>
      <c r="G1" s="12"/>
      <c r="H1" s="12"/>
    </row>
    <row r="3" customFormat="false" ht="15" hidden="false" customHeight="false" outlineLevel="0" collapsed="false">
      <c r="A3" s="3" t="s">
        <v>284</v>
      </c>
      <c r="B3" s="3"/>
      <c r="C3" s="3"/>
      <c r="D3" s="3"/>
      <c r="E3" s="3"/>
      <c r="F3" s="3"/>
      <c r="G3" s="3"/>
      <c r="H3" s="3"/>
    </row>
    <row r="4" customFormat="false" ht="23.85" hidden="false" customHeight="false" outlineLevel="0" collapsed="false">
      <c r="A4" s="6" t="s">
        <v>201</v>
      </c>
      <c r="B4" s="6" t="s">
        <v>285</v>
      </c>
      <c r="C4" s="6" t="s">
        <v>286</v>
      </c>
      <c r="D4" s="6" t="s">
        <v>287</v>
      </c>
      <c r="E4" s="6" t="s">
        <v>31</v>
      </c>
      <c r="F4" s="6" t="s">
        <v>288</v>
      </c>
      <c r="G4" s="6" t="s">
        <v>289</v>
      </c>
      <c r="H4" s="6" t="s">
        <v>290</v>
      </c>
    </row>
    <row r="5" customFormat="false" ht="15" hidden="false" customHeight="false" outlineLevel="0" collapsed="false">
      <c r="A5" s="20" t="s">
        <v>291</v>
      </c>
      <c r="B5" s="21" t="n">
        <v>1500</v>
      </c>
      <c r="C5" s="22" t="s">
        <v>117</v>
      </c>
      <c r="D5" s="22" t="n">
        <f aca="false">B5*30</f>
        <v>45000</v>
      </c>
      <c r="E5" s="21" t="n">
        <v>350</v>
      </c>
      <c r="F5" s="22" t="n">
        <f aca="false">D5/E5</f>
        <v>128.571428571429</v>
      </c>
      <c r="G5" s="22" t="n">
        <f aca="false">F5*0.15</f>
        <v>19.2857142857143</v>
      </c>
      <c r="H5" s="22" t="n">
        <f aca="false">F5*0.03</f>
        <v>3.85714285714286</v>
      </c>
    </row>
    <row r="6" customFormat="false" ht="15" hidden="false" customHeight="false" outlineLevel="0" collapsed="false">
      <c r="A6" s="20" t="s">
        <v>292</v>
      </c>
      <c r="B6" s="21" t="n">
        <v>1200</v>
      </c>
      <c r="C6" s="22" t="s">
        <v>125</v>
      </c>
      <c r="D6" s="22" t="n">
        <f aca="false">B6*30</f>
        <v>36000</v>
      </c>
      <c r="E6" s="21" t="n">
        <v>300</v>
      </c>
      <c r="F6" s="22" t="n">
        <f aca="false">D6/E6</f>
        <v>120</v>
      </c>
      <c r="G6" s="22" t="n">
        <f aca="false">F6*0.15</f>
        <v>18</v>
      </c>
      <c r="H6" s="22" t="n">
        <f aca="false">F6*0.03</f>
        <v>3.6</v>
      </c>
    </row>
    <row r="7" customFormat="false" ht="15" hidden="false" customHeight="false" outlineLevel="0" collapsed="false">
      <c r="A7" s="20" t="s">
        <v>293</v>
      </c>
      <c r="B7" s="21" t="n">
        <v>1200</v>
      </c>
      <c r="C7" s="22" t="s">
        <v>125</v>
      </c>
      <c r="D7" s="22" t="n">
        <f aca="false">B7*30</f>
        <v>36000</v>
      </c>
      <c r="E7" s="21" t="n">
        <v>450</v>
      </c>
      <c r="F7" s="22" t="n">
        <f aca="false">D7/E7</f>
        <v>80</v>
      </c>
      <c r="G7" s="22" t="n">
        <f aca="false">F7*0.15</f>
        <v>12</v>
      </c>
      <c r="H7" s="22" t="n">
        <f aca="false">F7*0.03</f>
        <v>2.4</v>
      </c>
    </row>
    <row r="8" customFormat="false" ht="15" hidden="false" customHeight="false" outlineLevel="0" collapsed="false">
      <c r="A8" s="20" t="s">
        <v>294</v>
      </c>
      <c r="B8" s="21" t="n">
        <v>1200</v>
      </c>
      <c r="C8" s="22" t="s">
        <v>125</v>
      </c>
      <c r="D8" s="22" t="n">
        <f aca="false">B8*30</f>
        <v>36000</v>
      </c>
      <c r="E8" s="21" t="n">
        <v>300</v>
      </c>
      <c r="F8" s="22" t="n">
        <f aca="false">D8/E8</f>
        <v>120</v>
      </c>
      <c r="G8" s="22" t="n">
        <f aca="false">F8*0.15</f>
        <v>18</v>
      </c>
      <c r="H8" s="22" t="n">
        <f aca="false">F8*0.03</f>
        <v>3.6</v>
      </c>
    </row>
    <row r="9" customFormat="false" ht="15" hidden="false" customHeight="false" outlineLevel="0" collapsed="false">
      <c r="A9" s="20" t="s">
        <v>295</v>
      </c>
      <c r="B9" s="21" t="n">
        <v>900</v>
      </c>
      <c r="C9" s="22" t="s">
        <v>146</v>
      </c>
      <c r="D9" s="22" t="n">
        <f aca="false">B9*30</f>
        <v>27000</v>
      </c>
      <c r="E9" s="21" t="n">
        <v>250</v>
      </c>
      <c r="F9" s="22" t="n">
        <f aca="false">D9/E9</f>
        <v>108</v>
      </c>
      <c r="G9" s="22" t="n">
        <f aca="false">F9*0.15</f>
        <v>16.2</v>
      </c>
      <c r="H9" s="22" t="n">
        <f aca="false">F9*0.03</f>
        <v>3.24</v>
      </c>
    </row>
    <row r="10" customFormat="false" ht="15" hidden="false" customHeight="false" outlineLevel="0" collapsed="false">
      <c r="A10" s="23" t="s">
        <v>296</v>
      </c>
      <c r="B10" s="24" t="n">
        <f aca="false">SUM(B5:B9)</f>
        <v>6000</v>
      </c>
      <c r="C10" s="24" t="s">
        <v>297</v>
      </c>
      <c r="D10" s="24" t="n">
        <f aca="false">SUM(D5:D9)</f>
        <v>180000</v>
      </c>
      <c r="E10" s="24"/>
      <c r="F10" s="24" t="n">
        <f aca="false">SUM(F5:F9)</f>
        <v>556.571428571429</v>
      </c>
      <c r="G10" s="24" t="n">
        <f aca="false">SUM(G5:G9)</f>
        <v>83.4857142857143</v>
      </c>
      <c r="H10" s="24" t="n">
        <f aca="false">SUM(H5:H9)</f>
        <v>16.6971428571429</v>
      </c>
    </row>
    <row r="13" customFormat="false" ht="15" hidden="false" customHeight="false" outlineLevel="0" collapsed="false">
      <c r="A13" s="3" t="s">
        <v>298</v>
      </c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6" t="s">
        <v>299</v>
      </c>
      <c r="B14" s="6" t="s">
        <v>300</v>
      </c>
      <c r="C14" s="6" t="s">
        <v>301</v>
      </c>
      <c r="D14" s="6" t="s">
        <v>302</v>
      </c>
      <c r="E14" s="6" t="s">
        <v>206</v>
      </c>
      <c r="F14" s="6" t="s">
        <v>303</v>
      </c>
      <c r="G14" s="6" t="s">
        <v>304</v>
      </c>
      <c r="H14" s="6" t="s">
        <v>305</v>
      </c>
    </row>
    <row r="15" customFormat="false" ht="90" hidden="false" customHeight="true" outlineLevel="0" collapsed="false">
      <c r="A15" s="15" t="s">
        <v>306</v>
      </c>
      <c r="B15" s="15" t="s">
        <v>307</v>
      </c>
      <c r="C15" s="16" t="s">
        <v>308</v>
      </c>
      <c r="D15" s="16" t="s">
        <v>309</v>
      </c>
      <c r="E15" s="16" t="s">
        <v>310</v>
      </c>
      <c r="F15" s="16" t="s">
        <v>311</v>
      </c>
      <c r="G15" s="16" t="s">
        <v>312</v>
      </c>
      <c r="H15" s="16" t="s">
        <v>313</v>
      </c>
    </row>
    <row r="16" customFormat="false" ht="90" hidden="false" customHeight="true" outlineLevel="0" collapsed="false">
      <c r="A16" s="15" t="s">
        <v>314</v>
      </c>
      <c r="B16" s="15" t="s">
        <v>315</v>
      </c>
      <c r="C16" s="16" t="s">
        <v>316</v>
      </c>
      <c r="D16" s="16" t="s">
        <v>317</v>
      </c>
      <c r="E16" s="16" t="s">
        <v>318</v>
      </c>
      <c r="F16" s="16" t="s">
        <v>319</v>
      </c>
      <c r="G16" s="16" t="s">
        <v>320</v>
      </c>
      <c r="H16" s="16" t="s">
        <v>321</v>
      </c>
    </row>
    <row r="17" customFormat="false" ht="90" hidden="false" customHeight="true" outlineLevel="0" collapsed="false">
      <c r="A17" s="15" t="s">
        <v>322</v>
      </c>
      <c r="B17" s="15" t="s">
        <v>323</v>
      </c>
      <c r="C17" s="16" t="s">
        <v>324</v>
      </c>
      <c r="D17" s="16" t="s">
        <v>325</v>
      </c>
      <c r="E17" s="16" t="s">
        <v>326</v>
      </c>
      <c r="F17" s="16" t="s">
        <v>327</v>
      </c>
      <c r="G17" s="16" t="s">
        <v>328</v>
      </c>
      <c r="H17" s="16" t="s">
        <v>329</v>
      </c>
    </row>
    <row r="18" customFormat="false" ht="90" hidden="false" customHeight="true" outlineLevel="0" collapsed="false">
      <c r="A18" s="15" t="s">
        <v>330</v>
      </c>
      <c r="B18" s="15" t="s">
        <v>331</v>
      </c>
      <c r="C18" s="16" t="s">
        <v>332</v>
      </c>
      <c r="D18" s="16" t="s">
        <v>333</v>
      </c>
      <c r="E18" s="16" t="s">
        <v>334</v>
      </c>
      <c r="F18" s="16" t="s">
        <v>319</v>
      </c>
      <c r="G18" s="16" t="s">
        <v>335</v>
      </c>
      <c r="H18" s="16" t="s">
        <v>336</v>
      </c>
    </row>
  </sheetData>
  <mergeCells count="3">
    <mergeCell ref="A1:H1"/>
    <mergeCell ref="A3:H3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5" min="4" style="0" width="40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2" t="s">
        <v>337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2" t="s">
        <v>338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339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6" t="s">
        <v>340</v>
      </c>
      <c r="B5" s="6" t="s">
        <v>341</v>
      </c>
      <c r="C5" s="6" t="s">
        <v>342</v>
      </c>
      <c r="D5" s="6" t="s">
        <v>343</v>
      </c>
      <c r="E5" s="6" t="s">
        <v>344</v>
      </c>
    </row>
    <row r="6" customFormat="false" ht="54.75" hidden="false" customHeight="true" outlineLevel="0" collapsed="false">
      <c r="A6" s="15" t="s">
        <v>345</v>
      </c>
      <c r="B6" s="16" t="s">
        <v>346</v>
      </c>
      <c r="C6" s="16" t="s">
        <v>347</v>
      </c>
      <c r="D6" s="16" t="s">
        <v>348</v>
      </c>
      <c r="E6" s="25" t="s">
        <v>63</v>
      </c>
    </row>
    <row r="7" customFormat="false" ht="54.75" hidden="false" customHeight="true" outlineLevel="0" collapsed="false">
      <c r="A7" s="15" t="s">
        <v>349</v>
      </c>
      <c r="B7" s="16" t="s">
        <v>350</v>
      </c>
      <c r="C7" s="16" t="s">
        <v>351</v>
      </c>
      <c r="D7" s="16" t="s">
        <v>352</v>
      </c>
      <c r="E7" s="25" t="s">
        <v>63</v>
      </c>
    </row>
    <row r="8" customFormat="false" ht="54.75" hidden="false" customHeight="true" outlineLevel="0" collapsed="false">
      <c r="A8" s="15" t="s">
        <v>353</v>
      </c>
      <c r="B8" s="16" t="s">
        <v>354</v>
      </c>
      <c r="C8" s="16" t="s">
        <v>355</v>
      </c>
      <c r="D8" s="16" t="s">
        <v>356</v>
      </c>
      <c r="E8" s="26" t="s">
        <v>49</v>
      </c>
    </row>
    <row r="9" customFormat="false" ht="54.75" hidden="false" customHeight="true" outlineLevel="0" collapsed="false">
      <c r="A9" s="15" t="s">
        <v>357</v>
      </c>
      <c r="B9" s="16" t="s">
        <v>358</v>
      </c>
      <c r="C9" s="16" t="s">
        <v>359</v>
      </c>
      <c r="D9" s="16" t="s">
        <v>360</v>
      </c>
      <c r="E9" s="25" t="s">
        <v>63</v>
      </c>
    </row>
    <row r="10" customFormat="false" ht="54.75" hidden="false" customHeight="true" outlineLevel="0" collapsed="false">
      <c r="A10" s="15" t="s">
        <v>361</v>
      </c>
      <c r="B10" s="16" t="s">
        <v>362</v>
      </c>
      <c r="C10" s="16" t="s">
        <v>363</v>
      </c>
      <c r="D10" s="16" t="s">
        <v>364</v>
      </c>
      <c r="E10" s="27" t="s">
        <v>365</v>
      </c>
    </row>
    <row r="11" customFormat="false" ht="54.75" hidden="false" customHeight="true" outlineLevel="0" collapsed="false">
      <c r="A11" s="15" t="s">
        <v>366</v>
      </c>
      <c r="B11" s="16" t="s">
        <v>367</v>
      </c>
      <c r="C11" s="16" t="s">
        <v>368</v>
      </c>
      <c r="D11" s="16" t="s">
        <v>369</v>
      </c>
      <c r="E11" s="26" t="s">
        <v>49</v>
      </c>
    </row>
    <row r="14" customFormat="false" ht="15" hidden="false" customHeight="false" outlineLevel="0" collapsed="false">
      <c r="A14" s="3" t="s">
        <v>370</v>
      </c>
      <c r="B14" s="3"/>
      <c r="C14" s="3"/>
      <c r="D14" s="3"/>
      <c r="E14" s="3"/>
      <c r="F14" s="3"/>
    </row>
    <row r="15" customFormat="false" ht="15" hidden="false" customHeight="false" outlineLevel="0" collapsed="false">
      <c r="A15" s="6" t="s">
        <v>343</v>
      </c>
      <c r="B15" s="6" t="s">
        <v>371</v>
      </c>
      <c r="C15" s="6" t="s">
        <v>372</v>
      </c>
    </row>
    <row r="16" customFormat="false" ht="34.5" hidden="false" customHeight="true" outlineLevel="0" collapsed="false">
      <c r="A16" s="28" t="s">
        <v>373</v>
      </c>
      <c r="B16" s="14" t="s">
        <v>374</v>
      </c>
      <c r="C16" s="14" t="s">
        <v>375</v>
      </c>
    </row>
    <row r="17" customFormat="false" ht="34.5" hidden="false" customHeight="true" outlineLevel="0" collapsed="false">
      <c r="A17" s="28" t="s">
        <v>373</v>
      </c>
      <c r="B17" s="14" t="s">
        <v>376</v>
      </c>
      <c r="C17" s="14" t="s">
        <v>377</v>
      </c>
    </row>
    <row r="18" customFormat="false" ht="34.5" hidden="false" customHeight="true" outlineLevel="0" collapsed="false">
      <c r="A18" s="28" t="s">
        <v>373</v>
      </c>
      <c r="B18" s="14" t="s">
        <v>378</v>
      </c>
      <c r="C18" s="14" t="s">
        <v>379</v>
      </c>
    </row>
    <row r="19" customFormat="false" ht="34.5" hidden="false" customHeight="true" outlineLevel="0" collapsed="false">
      <c r="A19" s="29" t="s">
        <v>380</v>
      </c>
      <c r="B19" s="14" t="s">
        <v>381</v>
      </c>
      <c r="C19" s="14" t="s">
        <v>382</v>
      </c>
    </row>
    <row r="20" customFormat="false" ht="34.5" hidden="false" customHeight="true" outlineLevel="0" collapsed="false">
      <c r="A20" s="29" t="s">
        <v>380</v>
      </c>
      <c r="B20" s="14" t="s">
        <v>383</v>
      </c>
      <c r="C20" s="14" t="s">
        <v>384</v>
      </c>
    </row>
    <row r="21" customFormat="false" ht="34.5" hidden="false" customHeight="true" outlineLevel="0" collapsed="false">
      <c r="A21" s="29" t="s">
        <v>380</v>
      </c>
      <c r="B21" s="14" t="s">
        <v>385</v>
      </c>
      <c r="C21" s="14" t="s">
        <v>386</v>
      </c>
    </row>
    <row r="22" customFormat="false" ht="34.5" hidden="false" customHeight="true" outlineLevel="0" collapsed="false">
      <c r="A22" s="30" t="s">
        <v>387</v>
      </c>
      <c r="B22" s="14" t="s">
        <v>388</v>
      </c>
      <c r="C22" s="14" t="s">
        <v>389</v>
      </c>
    </row>
    <row r="23" customFormat="false" ht="34.5" hidden="false" customHeight="true" outlineLevel="0" collapsed="false">
      <c r="A23" s="30" t="s">
        <v>390</v>
      </c>
      <c r="B23" s="14" t="s">
        <v>391</v>
      </c>
      <c r="C23" s="14" t="s">
        <v>392</v>
      </c>
    </row>
    <row r="24" customFormat="false" ht="34.5" hidden="false" customHeight="true" outlineLevel="0" collapsed="false">
      <c r="A24" s="30" t="s">
        <v>393</v>
      </c>
      <c r="B24" s="14" t="s">
        <v>394</v>
      </c>
      <c r="C24" s="14" t="s">
        <v>395</v>
      </c>
    </row>
  </sheetData>
  <mergeCells count="4">
    <mergeCell ref="A1:F1"/>
    <mergeCell ref="A2:F2"/>
    <mergeCell ref="A4:F4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2026-03-26T17:38:07Z</dcterms:created>
  <dc:creator>openpyxl</dc:creator>
  <dc:description/>
  <dc:language>en-US</dc:language>
  <cp:lastModifiedBy/>
  <dcterms:modified xsi:type="dcterms:W3CDTF">2026-03-26T17:38:07Z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